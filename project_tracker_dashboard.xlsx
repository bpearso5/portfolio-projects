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Projects" sheetId="2" state="visible" r:id="rId4"/>
    <sheet name="Data_Tasks" sheetId="3" state="visible" r:id="rId5"/>
    <sheet name="Data_TimeEntries_Wk" sheetId="4" state="visible" r:id="rId6"/>
    <sheet name="Data_Budget" sheetId="5" state="visible" r:id="rId7"/>
    <sheet name="Dashboard" sheetId="6" state="visible" r:id="rId8"/>
    <sheet name="Exec_OnePag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<sst xmlns="http://schemas.openxmlformats.org/spreadsheetml/2006/main" count="2584" uniqueCount="394">
  <si>
    <t xml:space="preserve">Project Portfolio Tracker — Excel Dashboard</t>
  </si>
  <si>
    <t xml:space="preserve">Companion to the Excel + SQL portfolio project. Built on synthetic data.</t>
  </si>
  <si>
    <t xml:space="preserve">Tabs in this workbook</t>
  </si>
  <si>
    <t xml:space="preserve">Tab</t>
  </si>
  <si>
    <t xml:space="preserve">What's there</t>
  </si>
  <si>
    <t xml:space="preserve">Dashboard</t>
  </si>
  <si>
    <t xml:space="preserve">Executive view: KPI cards, project health chart, budget burn, capacity.</t>
  </si>
  <si>
    <t xml:space="preserve">Exec_OnePager</t>
  </si>
  <si>
    <t xml:space="preserve">Print-ready 1-page summary you can attach to LinkedIn or email.</t>
  </si>
  <si>
    <t xml:space="preserve">Data_Projects</t>
  </si>
  <si>
    <t xml:space="preserve">Cleaned project list with computed % complete, % budget burned, health flag.</t>
  </si>
  <si>
    <t xml:space="preserve">Data_Tasks</t>
  </si>
  <si>
    <t xml:space="preserve">Task-level data with overdue flag.</t>
  </si>
  <si>
    <t xml:space="preserve">Data_TimeEntries_Wk</t>
  </si>
  <si>
    <t xml:space="preserve">Weekly hours per employee with capacity flag.</t>
  </si>
  <si>
    <t xml:space="preserve">Data_Budget</t>
  </si>
  <si>
    <t xml:space="preserve">Monthly budget vs. actual per project with variance.</t>
  </si>
  <si>
    <t xml:space="preserve">How to refresh</t>
  </si>
  <si>
    <t xml:space="preserve">1. Replace data in the Data_* tabs (paste from SQL output).</t>
  </si>
  <si>
    <t xml:space="preserve">2. All formulas, KPIs, and charts on the Dashboard recalculate automatically.</t>
  </si>
  <si>
    <t xml:space="preserve">3. Update the 'As of' date in cell B3 of the Dashboard tab.</t>
  </si>
  <si>
    <t xml:space="preserve">project_id</t>
  </si>
  <si>
    <t xml:space="preserve">project_name</t>
  </si>
  <si>
    <t xml:space="preserve">client_name</t>
  </si>
  <si>
    <t xml:space="preserve">project_manager</t>
  </si>
  <si>
    <t xml:space="preserve">start_date</t>
  </si>
  <si>
    <t xml:space="preserve">planned_end_date</t>
  </si>
  <si>
    <t xml:space="preserve">actual_end_date</t>
  </si>
  <si>
    <t xml:space="preserve">status</t>
  </si>
  <si>
    <t xml:space="preserve">budget_amount</t>
  </si>
  <si>
    <t xml:space="preserve">actual_amount</t>
  </si>
  <si>
    <t xml:space="preserve">pct_complete</t>
  </si>
  <si>
    <t xml:space="preserve">pct_budget_burned</t>
  </si>
  <si>
    <t xml:space="preserve">health_flag</t>
  </si>
  <si>
    <t xml:space="preserve">overrun</t>
  </si>
  <si>
    <t xml:space="preserve">ERP Implementation</t>
  </si>
  <si>
    <t xml:space="preserve">Acme Co.</t>
  </si>
  <si>
    <t xml:space="preserve">Ian Parker</t>
  </si>
  <si>
    <t xml:space="preserve">On Hold</t>
  </si>
  <si>
    <t xml:space="preserve">CRM Migration</t>
  </si>
  <si>
    <t xml:space="preserve">Initech</t>
  </si>
  <si>
    <t xml:space="preserve">Fatima Brown</t>
  </si>
  <si>
    <t xml:space="preserve">Cloud Cost Optimization</t>
  </si>
  <si>
    <t xml:space="preserve">Globex Logistics</t>
  </si>
  <si>
    <t xml:space="preserve">Carlos Garcia</t>
  </si>
  <si>
    <t xml:space="preserve">Completed</t>
  </si>
  <si>
    <t xml:space="preserve">Cybersecurity Uplift</t>
  </si>
  <si>
    <t xml:space="preserve">Brystal Patel</t>
  </si>
  <si>
    <t xml:space="preserve">In Progress</t>
  </si>
  <si>
    <t xml:space="preserve">Data Warehouse Rebuild</t>
  </si>
  <si>
    <t xml:space="preserve">Northwind Health</t>
  </si>
  <si>
    <t xml:space="preserve">Tara Cooper</t>
  </si>
  <si>
    <t xml:space="preserve">Customer Portal Refresh</t>
  </si>
  <si>
    <t xml:space="preserve">Mobile App Launch</t>
  </si>
  <si>
    <t xml:space="preserve">(unassigned)</t>
  </si>
  <si>
    <t xml:space="preserve">HR Systems Consolidation</t>
  </si>
  <si>
    <t xml:space="preserve">Cyberdyne</t>
  </si>
  <si>
    <t xml:space="preserve">Eli Nguyen</t>
  </si>
  <si>
    <t xml:space="preserve">Compliance Remediation</t>
  </si>
  <si>
    <t xml:space="preserve">Cancelled</t>
  </si>
  <si>
    <t xml:space="preserve">Procurement Automation</t>
  </si>
  <si>
    <t xml:space="preserve">Reporting Modernization</t>
  </si>
  <si>
    <t xml:space="preserve">Network Upgrade</t>
  </si>
  <si>
    <t xml:space="preserve">Vandelay Imports</t>
  </si>
  <si>
    <t xml:space="preserve">Onboarding Redesign</t>
  </si>
  <si>
    <t xml:space="preserve">Pied Piper</t>
  </si>
  <si>
    <t xml:space="preserve">Dana Lee</t>
  </si>
  <si>
    <t xml:space="preserve">Inventory Visibility</t>
  </si>
  <si>
    <t xml:space="preserve">Wonka Mfg</t>
  </si>
  <si>
    <t xml:space="preserve">Patient Scheduling Pilot</t>
  </si>
  <si>
    <t xml:space="preserve">Umbrella Bio</t>
  </si>
  <si>
    <t xml:space="preserve">Field Service Rollout</t>
  </si>
  <si>
    <t xml:space="preserve">Soylent Foods</t>
  </si>
  <si>
    <t xml:space="preserve">Marketing Ops Migration</t>
  </si>
  <si>
    <t xml:space="preserve">Hooli</t>
  </si>
  <si>
    <t xml:space="preserve">Vendor Risk Program</t>
  </si>
  <si>
    <t xml:space="preserve">Not Started</t>
  </si>
  <si>
    <t xml:space="preserve">Service Desk Re-platform</t>
  </si>
  <si>
    <t xml:space="preserve">Quality Management Rollout</t>
  </si>
  <si>
    <t xml:space="preserve">task_id</t>
  </si>
  <si>
    <t xml:space="preserve">task_name</t>
  </si>
  <si>
    <t xml:space="preserve">assignee</t>
  </si>
  <si>
    <t xml:space="preserve">due_date</t>
  </si>
  <si>
    <t xml:space="preserve">completed_date</t>
  </si>
  <si>
    <t xml:space="preserve">estimated_hours</t>
  </si>
  <si>
    <t xml:space="preserve">overdue_flag</t>
  </si>
  <si>
    <t xml:space="preserve">Hand-off integration</t>
  </si>
  <si>
    <t xml:space="preserve">Quinn Lewis</t>
  </si>
  <si>
    <t xml:space="preserve">Open</t>
  </si>
  <si>
    <t xml:space="preserve">Implement UAT plan</t>
  </si>
  <si>
    <t xml:space="preserve">Sofia Young</t>
  </si>
  <si>
    <t xml:space="preserve">Test stakeholder briefing</t>
  </si>
  <si>
    <t xml:space="preserve">Owen Murphy</t>
  </si>
  <si>
    <t xml:space="preserve">Deploy risk register</t>
  </si>
  <si>
    <t xml:space="preserve">Deploy requirements</t>
  </si>
  <si>
    <t xml:space="preserve">Alex Johnson</t>
  </si>
  <si>
    <t xml:space="preserve">Deploy integration</t>
  </si>
  <si>
    <t xml:space="preserve">Vera Cox</t>
  </si>
  <si>
    <t xml:space="preserve">Validate requirements</t>
  </si>
  <si>
    <t xml:space="preserve">Hassan Davis</t>
  </si>
  <si>
    <t xml:space="preserve">Xavier Green</t>
  </si>
  <si>
    <t xml:space="preserve">Blocked</t>
  </si>
  <si>
    <t xml:space="preserve">Implement requirements</t>
  </si>
  <si>
    <t xml:space="preserve">Theo Allen</t>
  </si>
  <si>
    <t xml:space="preserve">Draft risk register</t>
  </si>
  <si>
    <t xml:space="preserve">Wendy Scott</t>
  </si>
  <si>
    <t xml:space="preserve">Review training materials</t>
  </si>
  <si>
    <t xml:space="preserve">Zoe Smith</t>
  </si>
  <si>
    <t xml:space="preserve">Kickoff integration</t>
  </si>
  <si>
    <t xml:space="preserve">Priya Clark</t>
  </si>
  <si>
    <t xml:space="preserve">Train integration</t>
  </si>
  <si>
    <t xml:space="preserve">Aiden Hill</t>
  </si>
  <si>
    <t xml:space="preserve">Document test cases</t>
  </si>
  <si>
    <t xml:space="preserve">Sam Bell</t>
  </si>
  <si>
    <t xml:space="preserve">Done</t>
  </si>
  <si>
    <t xml:space="preserve">Test reports</t>
  </si>
  <si>
    <t xml:space="preserve">Diana Roberts</t>
  </si>
  <si>
    <t xml:space="preserve">Test requirements</t>
  </si>
  <si>
    <t xml:space="preserve">Quincy Rogers</t>
  </si>
  <si>
    <t xml:space="preserve">Pilot data model</t>
  </si>
  <si>
    <t xml:space="preserve">Configure stakeholder briefing</t>
  </si>
  <si>
    <t xml:space="preserve">Lena Reyes</t>
  </si>
  <si>
    <t xml:space="preserve">Configure training materials</t>
  </si>
  <si>
    <t xml:space="preserve">Umar Bailey</t>
  </si>
  <si>
    <t xml:space="preserve">Validate data model</t>
  </si>
  <si>
    <t xml:space="preserve">Yara Baker</t>
  </si>
  <si>
    <t xml:space="preserve">Kickoff rollout plan</t>
  </si>
  <si>
    <t xml:space="preserve">Kickoff vendor SOW</t>
  </si>
  <si>
    <t xml:space="preserve">Approve training materials</t>
  </si>
  <si>
    <t xml:space="preserve">Validate UAT plan</t>
  </si>
  <si>
    <t xml:space="preserve">Validate integration</t>
  </si>
  <si>
    <t xml:space="preserve">Maya Jackson</t>
  </si>
  <si>
    <t xml:space="preserve">Approve change request</t>
  </si>
  <si>
    <t xml:space="preserve">Configure test cases</t>
  </si>
  <si>
    <t xml:space="preserve">Plan reports</t>
  </si>
  <si>
    <t xml:space="preserve">Gavin Turner</t>
  </si>
  <si>
    <t xml:space="preserve">Validate stakeholder briefing</t>
  </si>
  <si>
    <t xml:space="preserve">Train reports</t>
  </si>
  <si>
    <t xml:space="preserve">Rachel Morgan</t>
  </si>
  <si>
    <t xml:space="preserve">Draft requirements</t>
  </si>
  <si>
    <t xml:space="preserve">Plan vendor SOW</t>
  </si>
  <si>
    <t xml:space="preserve">Implement test cases</t>
  </si>
  <si>
    <t xml:space="preserve">Test risk register</t>
  </si>
  <si>
    <t xml:space="preserve">Validate change request</t>
  </si>
  <si>
    <t xml:space="preserve">Uma King</t>
  </si>
  <si>
    <t xml:space="preserve">Configure RACI</t>
  </si>
  <si>
    <t xml:space="preserve">Jade Edwards</t>
  </si>
  <si>
    <t xml:space="preserve">Migrate UAT plan</t>
  </si>
  <si>
    <t xml:space="preserve">Will Howard</t>
  </si>
  <si>
    <t xml:space="preserve">Migrate stakeholder briefing</t>
  </si>
  <si>
    <t xml:space="preserve">Deploy reports</t>
  </si>
  <si>
    <t xml:space="preserve">Ravi Walker</t>
  </si>
  <si>
    <t xml:space="preserve">Implement integration</t>
  </si>
  <si>
    <t xml:space="preserve">Olivia Harris</t>
  </si>
  <si>
    <t xml:space="preserve">Configure rollout plan</t>
  </si>
  <si>
    <t xml:space="preserve">Victor Wright</t>
  </si>
  <si>
    <t xml:space="preserve">Pilot rollout plan</t>
  </si>
  <si>
    <t xml:space="preserve">Draft training materials</t>
  </si>
  <si>
    <t xml:space="preserve">Validate vendor SOW</t>
  </si>
  <si>
    <t xml:space="preserve">Test UAT plan</t>
  </si>
  <si>
    <t xml:space="preserve">Bella Mitchell</t>
  </si>
  <si>
    <t xml:space="preserve">Plan stakeholder briefing</t>
  </si>
  <si>
    <t xml:space="preserve">Zane Adams</t>
  </si>
  <si>
    <t xml:space="preserve">Approve cutover</t>
  </si>
  <si>
    <t xml:space="preserve">Draft data model</t>
  </si>
  <si>
    <t xml:space="preserve">Paige Cook</t>
  </si>
  <si>
    <t xml:space="preserve">Draft UAT plan</t>
  </si>
  <si>
    <t xml:space="preserve">Review security review</t>
  </si>
  <si>
    <t xml:space="preserve">Document reports</t>
  </si>
  <si>
    <t xml:space="preserve">Test RACI</t>
  </si>
  <si>
    <t xml:space="preserve">Deploy test cases</t>
  </si>
  <si>
    <t xml:space="preserve">Review change request</t>
  </si>
  <si>
    <t xml:space="preserve">Test data model</t>
  </si>
  <si>
    <t xml:space="preserve">Review vendor SOW</t>
  </si>
  <si>
    <t xml:space="preserve">Train data model</t>
  </si>
  <si>
    <t xml:space="preserve">Kyle Collins</t>
  </si>
  <si>
    <t xml:space="preserve">Draft RACI</t>
  </si>
  <si>
    <t xml:space="preserve">Document stakeholder briefing</t>
  </si>
  <si>
    <t xml:space="preserve">Kickoff cutover</t>
  </si>
  <si>
    <t xml:space="preserve">Train security review</t>
  </si>
  <si>
    <t xml:space="preserve">Deploy training materials</t>
  </si>
  <si>
    <t xml:space="preserve">Migrate reports</t>
  </si>
  <si>
    <t xml:space="preserve">Hand-off change request</t>
  </si>
  <si>
    <t xml:space="preserve">Migrate test cases</t>
  </si>
  <si>
    <t xml:space="preserve">Kickoff reports</t>
  </si>
  <si>
    <t xml:space="preserve">Validate cutover</t>
  </si>
  <si>
    <t xml:space="preserve">Document vendor SOW</t>
  </si>
  <si>
    <t xml:space="preserve">Train vendor SOW</t>
  </si>
  <si>
    <t xml:space="preserve">Liam Thomas</t>
  </si>
  <si>
    <t xml:space="preserve">Deploy vendor SOW</t>
  </si>
  <si>
    <t xml:space="preserve">Review RACI</t>
  </si>
  <si>
    <t xml:space="preserve">Draft cutover</t>
  </si>
  <si>
    <t xml:space="preserve">Grace Khan</t>
  </si>
  <si>
    <t xml:space="preserve">Migrate security review</t>
  </si>
  <si>
    <t xml:space="preserve">Caleb Carter</t>
  </si>
  <si>
    <t xml:space="preserve">Pilot security review</t>
  </si>
  <si>
    <t xml:space="preserve">Train change request</t>
  </si>
  <si>
    <t xml:space="preserve">Train rollout plan</t>
  </si>
  <si>
    <t xml:space="preserve">Marcus Stewart</t>
  </si>
  <si>
    <t xml:space="preserve">Migrate risk register</t>
  </si>
  <si>
    <t xml:space="preserve">Approve requirements</t>
  </si>
  <si>
    <t xml:space="preserve">Nina Morris</t>
  </si>
  <si>
    <t xml:space="preserve">Implement cutover</t>
  </si>
  <si>
    <t xml:space="preserve">Kickoff change request</t>
  </si>
  <si>
    <t xml:space="preserve">Ethan Phillips</t>
  </si>
  <si>
    <t xml:space="preserve">Kickoff UAT plan</t>
  </si>
  <si>
    <t xml:space="preserve">Validate reports</t>
  </si>
  <si>
    <t xml:space="preserve">Draft integration</t>
  </si>
  <si>
    <t xml:space="preserve">Migrate vendor SOW</t>
  </si>
  <si>
    <t xml:space="preserve">Validate security review</t>
  </si>
  <si>
    <t xml:space="preserve">Approve UAT plan</t>
  </si>
  <si>
    <t xml:space="preserve">Pilot RACI</t>
  </si>
  <si>
    <t xml:space="preserve">Plan RACI</t>
  </si>
  <si>
    <t xml:space="preserve">Migrate cutover</t>
  </si>
  <si>
    <t xml:space="preserve">Approve rollout plan</t>
  </si>
  <si>
    <t xml:space="preserve">Document training materials</t>
  </si>
  <si>
    <t xml:space="preserve">Deploy stakeholder briefing</t>
  </si>
  <si>
    <t xml:space="preserve">Migrate rollout plan</t>
  </si>
  <si>
    <t xml:space="preserve">Plan security review</t>
  </si>
  <si>
    <t xml:space="preserve">Hand-off UAT plan</t>
  </si>
  <si>
    <t xml:space="preserve">Plan change request</t>
  </si>
  <si>
    <t xml:space="preserve">Validate rollout plan</t>
  </si>
  <si>
    <t xml:space="preserve">Jorge Wilson</t>
  </si>
  <si>
    <t xml:space="preserve">Configure reports</t>
  </si>
  <si>
    <t xml:space="preserve">Train test cases</t>
  </si>
  <si>
    <t xml:space="preserve">Pilot integration</t>
  </si>
  <si>
    <t xml:space="preserve">Train cutover</t>
  </si>
  <si>
    <t xml:space="preserve">Kickoff security review</t>
  </si>
  <si>
    <t xml:space="preserve">Migrate requirements</t>
  </si>
  <si>
    <t xml:space="preserve">Imani Martin</t>
  </si>
  <si>
    <t xml:space="preserve">Train UAT plan</t>
  </si>
  <si>
    <t xml:space="preserve">Pilot stakeholder briefing</t>
  </si>
  <si>
    <t xml:space="preserve">Pilot cutover</t>
  </si>
  <si>
    <t xml:space="preserve">Plan risk register</t>
  </si>
  <si>
    <t xml:space="preserve">Train stakeholder briefing</t>
  </si>
  <si>
    <t xml:space="preserve">Hand-off requirements</t>
  </si>
  <si>
    <t xml:space="preserve">Configure integration</t>
  </si>
  <si>
    <t xml:space="preserve">Implement data model</t>
  </si>
  <si>
    <t xml:space="preserve">Configure vendor SOW</t>
  </si>
  <si>
    <t xml:space="preserve">Document change request</t>
  </si>
  <si>
    <t xml:space="preserve">Approve test cases</t>
  </si>
  <si>
    <t xml:space="preserve">Plan data model</t>
  </si>
  <si>
    <t xml:space="preserve">Draft change request</t>
  </si>
  <si>
    <t xml:space="preserve">Review stakeholder briefing</t>
  </si>
  <si>
    <t xml:space="preserve">Hand-off cutover</t>
  </si>
  <si>
    <t xml:space="preserve">Hand-off rollout plan</t>
  </si>
  <si>
    <t xml:space="preserve">Draft vendor SOW</t>
  </si>
  <si>
    <t xml:space="preserve">Hand-off stakeholder briefing</t>
  </si>
  <si>
    <t xml:space="preserve">Test change request</t>
  </si>
  <si>
    <t xml:space="preserve">Noah White</t>
  </si>
  <si>
    <t xml:space="preserve">Pilot requirements</t>
  </si>
  <si>
    <t xml:space="preserve">Hailey Diaz</t>
  </si>
  <si>
    <t xml:space="preserve">Train training materials</t>
  </si>
  <si>
    <t xml:space="preserve">Plan requirements</t>
  </si>
  <si>
    <t xml:space="preserve">Approve integration</t>
  </si>
  <si>
    <t xml:space="preserve">Kickoff training materials</t>
  </si>
  <si>
    <t xml:space="preserve">Hand-off reports</t>
  </si>
  <si>
    <t xml:space="preserve">Kickoff data model</t>
  </si>
  <si>
    <t xml:space="preserve">Implement stakeholder briefing</t>
  </si>
  <si>
    <t xml:space="preserve">Configure data model</t>
  </si>
  <si>
    <t xml:space="preserve">Document RACI</t>
  </si>
  <si>
    <t xml:space="preserve">Deploy change request</t>
  </si>
  <si>
    <t xml:space="preserve">Validate training materials</t>
  </si>
  <si>
    <t xml:space="preserve">Kickoff test cases</t>
  </si>
  <si>
    <t xml:space="preserve">Kickoff stakeholder briefing</t>
  </si>
  <si>
    <t xml:space="preserve">Configure security review</t>
  </si>
  <si>
    <t xml:space="preserve">Plan rollout plan</t>
  </si>
  <si>
    <t xml:space="preserve">Fiona Evans</t>
  </si>
  <si>
    <t xml:space="preserve">Test test cases</t>
  </si>
  <si>
    <t xml:space="preserve">Review requirements</t>
  </si>
  <si>
    <t xml:space="preserve">Configure cutover</t>
  </si>
  <si>
    <t xml:space="preserve">Plan test cases</t>
  </si>
  <si>
    <t xml:space="preserve">Hand-off data model</t>
  </si>
  <si>
    <t xml:space="preserve">Deploy data model</t>
  </si>
  <si>
    <t xml:space="preserve">Approve security review</t>
  </si>
  <si>
    <t xml:space="preserve">Test rollout plan</t>
  </si>
  <si>
    <t xml:space="preserve">Pilot UAT plan</t>
  </si>
  <si>
    <t xml:space="preserve">Review cutover</t>
  </si>
  <si>
    <t xml:space="preserve">Document risk register</t>
  </si>
  <si>
    <t xml:space="preserve">Approve RACI</t>
  </si>
  <si>
    <t xml:space="preserve">Hand-off training materials</t>
  </si>
  <si>
    <t xml:space="preserve">Test training materials</t>
  </si>
  <si>
    <t xml:space="preserve">Validate RACI</t>
  </si>
  <si>
    <t xml:space="preserve">Hand-off test cases</t>
  </si>
  <si>
    <t xml:space="preserve">Implement RACI</t>
  </si>
  <si>
    <t xml:space="preserve">Draft rollout plan</t>
  </si>
  <si>
    <t xml:space="preserve">Kelly Anderson</t>
  </si>
  <si>
    <t xml:space="preserve">Migrate change request</t>
  </si>
  <si>
    <t xml:space="preserve">Hand-off security review</t>
  </si>
  <si>
    <t xml:space="preserve">Document cutover</t>
  </si>
  <si>
    <t xml:space="preserve">Pilot test cases</t>
  </si>
  <si>
    <t xml:space="preserve">Document integration</t>
  </si>
  <si>
    <t xml:space="preserve">Configure change request</t>
  </si>
  <si>
    <t xml:space="preserve">Train requirements</t>
  </si>
  <si>
    <t xml:space="preserve">Document security review</t>
  </si>
  <si>
    <t xml:space="preserve">Document rollout plan</t>
  </si>
  <si>
    <t xml:space="preserve">Review UAT plan</t>
  </si>
  <si>
    <t xml:space="preserve">Review test cases</t>
  </si>
  <si>
    <t xml:space="preserve">Implement change request</t>
  </si>
  <si>
    <t xml:space="preserve">Implement training materials</t>
  </si>
  <si>
    <t xml:space="preserve">Plan cutover</t>
  </si>
  <si>
    <t xml:space="preserve">Deploy security review</t>
  </si>
  <si>
    <t xml:space="preserve">Pilot vendor SOW</t>
  </si>
  <si>
    <t xml:space="preserve">Test security review</t>
  </si>
  <si>
    <t xml:space="preserve">Pilot training materials</t>
  </si>
  <si>
    <t xml:space="preserve">Implement security review</t>
  </si>
  <si>
    <t xml:space="preserve">Deploy cutover</t>
  </si>
  <si>
    <t xml:space="preserve">Review integration</t>
  </si>
  <si>
    <t xml:space="preserve">Kickoff requirements</t>
  </si>
  <si>
    <t xml:space="preserve">Migrate training materials</t>
  </si>
  <si>
    <t xml:space="preserve">Train RACI</t>
  </si>
  <si>
    <t xml:space="preserve">Configure risk register</t>
  </si>
  <si>
    <t xml:space="preserve">Hand-off risk register</t>
  </si>
  <si>
    <t xml:space="preserve">Document UAT plan</t>
  </si>
  <si>
    <t xml:space="preserve">Test cutover</t>
  </si>
  <si>
    <t xml:space="preserve">Hand-off vendor SOW</t>
  </si>
  <si>
    <t xml:space="preserve">Approve data model</t>
  </si>
  <si>
    <t xml:space="preserve">Plan UAT plan</t>
  </si>
  <si>
    <t xml:space="preserve">Configure UAT plan</t>
  </si>
  <si>
    <t xml:space="preserve">Pilot reports</t>
  </si>
  <si>
    <t xml:space="preserve">Approve stakeholder briefing</t>
  </si>
  <si>
    <t xml:space="preserve">Approve risk register</t>
  </si>
  <si>
    <t xml:space="preserve">Validate risk register</t>
  </si>
  <si>
    <t xml:space="preserve">Review risk register</t>
  </si>
  <si>
    <t xml:space="preserve">Hand-off RACI</t>
  </si>
  <si>
    <t xml:space="preserve">Implement risk register</t>
  </si>
  <si>
    <t xml:space="preserve">Document requirements</t>
  </si>
  <si>
    <t xml:space="preserve">Test vendor SOW</t>
  </si>
  <si>
    <t xml:space="preserve">Review data model</t>
  </si>
  <si>
    <t xml:space="preserve">employee_id</t>
  </si>
  <si>
    <t xml:space="preserve">employee</t>
  </si>
  <si>
    <t xml:space="preserve">department</t>
  </si>
  <si>
    <t xml:space="preserve">week_start</t>
  </si>
  <si>
    <t xml:space="preserve">hours_this_week</t>
  </si>
  <si>
    <t xml:space="preserve">capacity_flag</t>
  </si>
  <si>
    <t xml:space="preserve">Delivery</t>
  </si>
  <si>
    <t xml:space="preserve">Operations</t>
  </si>
  <si>
    <t xml:space="preserve">Finance</t>
  </si>
  <si>
    <t xml:space="preserve">PMO</t>
  </si>
  <si>
    <t xml:space="preserve">Engineering</t>
  </si>
  <si>
    <t xml:space="preserve">Design</t>
  </si>
  <si>
    <t xml:space="preserve">record_id</t>
  </si>
  <si>
    <t xml:space="preserve">month_start</t>
  </si>
  <si>
    <t xml:space="preserve">budgeted_amount</t>
  </si>
  <si>
    <t xml:space="preserve">variance</t>
  </si>
  <si>
    <t xml:space="preserve">Project Portfolio — Health Dashboard</t>
  </si>
  <si>
    <t xml:space="preserve">As of:</t>
  </si>
  <si>
    <t xml:space="preserve">Synthetic data | Built with Excel + SQL</t>
  </si>
  <si>
    <t xml:space="preserve">TOTAL PROJECTS</t>
  </si>
  <si>
    <t xml:space="preserve">ON TRACK</t>
  </si>
  <si>
    <t xml:space="preserve">AT RISK</t>
  </si>
  <si>
    <t xml:space="preserve">OVER BUDGET</t>
  </si>
  <si>
    <t xml:space="preserve">OVERDUE TASKS</t>
  </si>
  <si>
    <t xml:space="preserve">Project Health Summary</t>
  </si>
  <si>
    <t xml:space="preserve">Health</t>
  </si>
  <si>
    <t xml:space="preserve"># Projects</t>
  </si>
  <si>
    <t xml:space="preserve">% of Portfolio</t>
  </si>
  <si>
    <t xml:space="preserve">On Track</t>
  </si>
  <si>
    <t xml:space="preserve">At Risk</t>
  </si>
  <si>
    <t xml:space="preserve">Over Budget</t>
  </si>
  <si>
    <t xml:space="preserve">Top 5 Over-Budget Projects</t>
  </si>
  <si>
    <t xml:space="preserve">Project</t>
  </si>
  <si>
    <t xml:space="preserve">Client</t>
  </si>
  <si>
    <t xml:space="preserve">Budget</t>
  </si>
  <si>
    <t xml:space="preserve">Actual</t>
  </si>
  <si>
    <t xml:space="preserve">Overrun</t>
  </si>
  <si>
    <t xml:space="preserve">Month</t>
  </si>
  <si>
    <t xml:space="preserve">Planned</t>
  </si>
  <si>
    <t xml:space="preserve">Monthly Spend — Planned vs Actual</t>
  </si>
  <si>
    <t xml:space="preserve">Capacity Hot List — Overallocated Employees (any week &gt;45 hrs)</t>
  </si>
  <si>
    <t xml:space="preserve">Employee</t>
  </si>
  <si>
    <t xml:space="preserve">Department</t>
  </si>
  <si>
    <t xml:space="preserve"># Weeks Overallocated</t>
  </si>
  <si>
    <t xml:space="preserve">(helper)</t>
  </si>
  <si>
    <t xml:space="preserve">name</t>
  </si>
  <si>
    <t xml:space="preserve">dept</t>
  </si>
  <si>
    <t xml:space="preserve">overalloc_wks</t>
  </si>
  <si>
    <t xml:space="preserve">Project Portfolio Health — Executive Summary</t>
  </si>
  <si>
    <t xml:space="preserve">Synthetic dataset | Sample portfolio piece</t>
  </si>
  <si>
    <t xml:space="preserve">PROJECTS</t>
  </si>
  <si>
    <t xml:space="preserve">% ON TRACK</t>
  </si>
  <si>
    <t xml:space="preserve">% OVER BUDGET</t>
  </si>
  <si>
    <t xml:space="preserve">TOTAL OVERRUN</t>
  </si>
  <si>
    <t xml:space="preserve">What this dashboard shows</t>
  </si>
  <si>
    <t xml:space="preserve">• Single weekly view of project health across all 20 projects.</t>
  </si>
  <si>
    <t xml:space="preserve">• Health flag is automatic: 'Over Budget' when actuals exceed plan; 'At Risk' when</t>
  </si>
  <si>
    <t xml:space="preserve">  budget burn is running &gt;15 percentage points ahead of % complete.</t>
  </si>
  <si>
    <t xml:space="preserve">• Capacity hot list flags employees logging &gt;45 hours for any week in the last 8.</t>
  </si>
  <si>
    <t xml:space="preserve">Recommended actions</t>
  </si>
  <si>
    <t xml:space="preserve">1. Re-baseline the over-budget projects with the COO this week.</t>
  </si>
  <si>
    <t xml:space="preserve">2. Open weekly check-in on any project where (% burned − % complete) &gt; 15.</t>
  </si>
  <si>
    <t xml:space="preserve">3. Redistribute work from overallocated staff before quality slips.</t>
  </si>
  <si>
    <t xml:space="preserve">4. Replace ad-hoc PM emails with this dashboard, refreshed every Monday.</t>
  </si>
  <si>
    <t xml:space="preserve">Built by Brystal | Excel + SQL portfolio piece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</si>
</sst>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;[RED]&quot;($&quot;#,##0\);\-"/>
    <numFmt numFmtId="167" formatCode="0.0%"/>
    <numFmt numFmtId="168" formatCode="0"/>
    <numFmt numFmtId="169" formatCode="mmm\ yyyy"/>
    <numFmt numFmtId="170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B26A00"/>
        <bgColor rgb="FFBE4B48"/>
      </patternFill>
    </fill>
    <fill>
      <patternFill patternType="solid">
        <fgColor rgb="FFB71C1C"/>
        <bgColor rgb="FF993366"/>
      </patternFill>
    </fill>
    <fill>
      <patternFill patternType="solid">
        <fgColor rgb="FF6A1B9A"/>
        <bgColor rgb="FF800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5BE7C"/>
          <bgColor rgb="FF000000"/>
        </patternFill>
      </fill>
    </dxf>
    <dxf>
      <fill>
        <patternFill patternType="solid">
          <fgColor rgb="FF67BF7E"/>
          <bgColor rgb="FF000000"/>
        </patternFill>
      </fill>
    </dxf>
    <dxf>
      <fill>
        <patternFill patternType="solid">
          <fgColor rgb="FF6AC081"/>
          <bgColor rgb="FF000000"/>
        </patternFill>
      </fill>
    </dxf>
    <dxf>
      <fill>
        <patternFill patternType="solid">
          <fgColor rgb="FF70C386"/>
          <bgColor rgb="FF000000"/>
        </patternFill>
      </fill>
    </dxf>
    <dxf>
      <fill>
        <patternFill patternType="solid">
          <fgColor rgb="FF77C68C"/>
          <bgColor rgb="FF000000"/>
        </patternFill>
      </fill>
    </dxf>
    <dxf>
      <fill>
        <patternFill patternType="solid">
          <fgColor rgb="FF7BC88F"/>
          <bgColor rgb="FF000000"/>
        </patternFill>
      </fill>
    </dxf>
    <dxf>
      <fill>
        <patternFill patternType="solid">
          <fgColor rgb="FF7FC993"/>
          <bgColor rgb="FF000000"/>
        </patternFill>
      </fill>
    </dxf>
    <dxf>
      <fill>
        <patternFill patternType="solid">
          <fgColor rgb="FF82CA95"/>
          <bgColor rgb="FF000000"/>
        </patternFill>
      </fill>
    </dxf>
    <dxf>
      <fill>
        <patternFill patternType="solid">
          <fgColor rgb="FF86CC98"/>
          <bgColor rgb="FF000000"/>
        </patternFill>
      </fill>
    </dxf>
    <dxf>
      <fill>
        <patternFill patternType="solid">
          <fgColor rgb="FF87CD99"/>
          <bgColor rgb="FF000000"/>
        </patternFill>
      </fill>
    </dxf>
    <dxf>
      <fill>
        <patternFill patternType="solid">
          <fgColor rgb="FF89CE9B"/>
          <bgColor rgb="FF000000"/>
        </patternFill>
      </fill>
    </dxf>
    <dxf>
      <fill>
        <patternFill patternType="solid">
          <fgColor rgb="FF8DCF9E"/>
          <bgColor rgb="FF000000"/>
        </patternFill>
      </fill>
    </dxf>
    <dxf>
      <fill>
        <patternFill patternType="solid">
          <fgColor rgb="FF8DCF9F"/>
          <bgColor rgb="FF000000"/>
        </patternFill>
      </fill>
    </dxf>
    <dxf>
      <fill>
        <patternFill patternType="solid">
          <fgColor rgb="FF8FD0A1"/>
          <bgColor rgb="FF000000"/>
        </patternFill>
      </fill>
    </dxf>
    <dxf>
      <fill>
        <patternFill patternType="solid">
          <fgColor rgb="FF91D1A2"/>
          <bgColor rgb="FF000000"/>
        </patternFill>
      </fill>
    </dxf>
    <dxf>
      <fill>
        <patternFill patternType="solid">
          <fgColor rgb="FF92D1A3"/>
          <bgColor rgb="FF000000"/>
        </patternFill>
      </fill>
    </dxf>
    <dxf>
      <fill>
        <patternFill patternType="solid">
          <fgColor rgb="FF94D2A4"/>
          <bgColor rgb="FF000000"/>
        </patternFill>
      </fill>
    </dxf>
    <dxf>
      <fill>
        <patternFill patternType="solid">
          <fgColor rgb="FF95D3A5"/>
          <bgColor rgb="FF000000"/>
        </patternFill>
      </fill>
    </dxf>
    <dxf>
      <fill>
        <patternFill patternType="solid">
          <fgColor rgb="FF9AD4A9"/>
          <bgColor rgb="FF000000"/>
        </patternFill>
      </fill>
    </dxf>
    <dxf>
      <fill>
        <patternFill patternType="solid">
          <fgColor rgb="FF9BD5AB"/>
          <bgColor rgb="FF000000"/>
        </patternFill>
      </fill>
    </dxf>
    <dxf>
      <fill>
        <patternFill patternType="solid">
          <fgColor rgb="FF9CD6AB"/>
          <bgColor rgb="FF000000"/>
        </patternFill>
      </fill>
    </dxf>
    <dxf>
      <fill>
        <patternFill patternType="solid">
          <fgColor rgb="FF9ED6AD"/>
          <bgColor rgb="FF000000"/>
        </patternFill>
      </fill>
    </dxf>
    <dxf>
      <fill>
        <patternFill patternType="solid">
          <fgColor rgb="FF9FD7AD"/>
          <bgColor rgb="FF000000"/>
        </patternFill>
      </fill>
    </dxf>
    <dxf>
      <fill>
        <patternFill patternType="solid">
          <fgColor rgb="FFA0D7AE"/>
          <bgColor rgb="FF000000"/>
        </patternFill>
      </fill>
    </dxf>
    <dxf>
      <fill>
        <patternFill patternType="solid">
          <fgColor rgb="FFA1D7AF"/>
          <bgColor rgb="FF000000"/>
        </patternFill>
      </fill>
    </dxf>
    <dxf>
      <fill>
        <patternFill patternType="solid">
          <fgColor rgb="FFA1D8B0"/>
          <bgColor rgb="FF000000"/>
        </patternFill>
      </fill>
    </dxf>
    <dxf>
      <fill>
        <patternFill patternType="solid">
          <fgColor rgb="FFA2D8B0"/>
          <bgColor rgb="FF000000"/>
        </patternFill>
      </fill>
    </dxf>
    <dxf>
      <fill>
        <patternFill patternType="solid">
          <fgColor rgb="FFA4D9B2"/>
          <bgColor rgb="FF000000"/>
        </patternFill>
      </fill>
    </dxf>
    <dxf>
      <fill>
        <patternFill patternType="solid">
          <fgColor rgb="FFA7DAB5"/>
          <bgColor rgb="FF000000"/>
        </patternFill>
      </fill>
    </dxf>
    <dxf>
      <fill>
        <patternFill patternType="solid">
          <fgColor rgb="FFAADBB7"/>
          <bgColor rgb="FF000000"/>
        </patternFill>
      </fill>
    </dxf>
    <dxf>
      <fill>
        <patternFill patternType="solid">
          <fgColor rgb="FFABDCB8"/>
          <bgColor rgb="FF000000"/>
        </patternFill>
      </fill>
    </dxf>
    <dxf>
      <fill>
        <patternFill patternType="solid">
          <fgColor rgb="FFACDCB9"/>
          <bgColor rgb="FF000000"/>
        </patternFill>
      </fill>
    </dxf>
    <dxf>
      <fill>
        <patternFill patternType="solid">
          <fgColor rgb="FFADDCB9"/>
          <bgColor rgb="FF000000"/>
        </patternFill>
      </fill>
    </dxf>
    <dxf>
      <fill>
        <patternFill patternType="solid">
          <fgColor rgb="FFADDDBA"/>
          <bgColor rgb="FF000000"/>
        </patternFill>
      </fill>
    </dxf>
    <dxf>
      <fill>
        <patternFill patternType="solid">
          <fgColor rgb="FFAFDDBB"/>
          <bgColor rgb="FF000000"/>
        </patternFill>
      </fill>
    </dxf>
    <dxf>
      <fill>
        <patternFill patternType="solid">
          <fgColor rgb="FFAFDEBB"/>
          <bgColor rgb="FF000000"/>
        </patternFill>
      </fill>
    </dxf>
    <dxf>
      <fill>
        <patternFill patternType="solid">
          <fgColor rgb="FFAFDEBC"/>
          <bgColor rgb="FF000000"/>
        </patternFill>
      </fill>
    </dxf>
    <dxf>
      <fill>
        <patternFill patternType="solid">
          <fgColor rgb="FFB1DEBD"/>
          <bgColor rgb="FF000000"/>
        </patternFill>
      </fill>
    </dxf>
    <dxf>
      <fill>
        <patternFill patternType="solid">
          <fgColor rgb="FFB2DFBE"/>
          <bgColor rgb="FF000000"/>
        </patternFill>
      </fill>
    </dxf>
    <dxf>
      <fill>
        <patternFill patternType="solid">
          <fgColor rgb="FFB3DFBF"/>
          <bgColor rgb="FF000000"/>
        </patternFill>
      </fill>
    </dxf>
    <dxf>
      <fill>
        <patternFill patternType="solid">
          <fgColor rgb="FFB5E0C0"/>
          <bgColor rgb="FF000000"/>
        </patternFill>
      </fill>
    </dxf>
    <dxf>
      <fill>
        <patternFill patternType="solid">
          <fgColor rgb="FFB6E0C1"/>
          <bgColor rgb="FF000000"/>
        </patternFill>
      </fill>
    </dxf>
    <dxf>
      <fill>
        <patternFill patternType="solid">
          <fgColor rgb="FFB8E1C3"/>
          <bgColor rgb="FF000000"/>
        </patternFill>
      </fill>
    </dxf>
    <dxf>
      <fill>
        <patternFill patternType="solid">
          <fgColor rgb="FFB9E1C3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BE2C5"/>
          <bgColor rgb="FF000000"/>
        </patternFill>
      </fill>
    </dxf>
    <dxf>
      <fill>
        <patternFill patternType="solid">
          <fgColor rgb="FFBCE3C6"/>
          <bgColor rgb="FF000000"/>
        </patternFill>
      </fill>
    </dxf>
    <dxf>
      <fill>
        <patternFill patternType="solid">
          <fgColor rgb="FFC5E6CE"/>
          <bgColor rgb="FF000000"/>
        </patternFill>
      </fill>
    </dxf>
    <dxf>
      <fill>
        <patternFill patternType="solid">
          <fgColor rgb="FFCBE9D3"/>
          <bgColor rgb="FF000000"/>
        </patternFill>
      </fill>
    </dxf>
    <dxf>
      <fill>
        <patternFill patternType="solid">
          <fgColor rgb="FFCCE9D3"/>
          <bgColor rgb="FF000000"/>
        </patternFill>
      </fill>
    </dxf>
    <dxf>
      <fill>
        <patternFill patternType="solid">
          <fgColor rgb="FFCCE9D4"/>
          <bgColor rgb="FF000000"/>
        </patternFill>
      </fill>
    </dxf>
    <dxf>
      <fill>
        <patternFill patternType="solid">
          <fgColor rgb="FFCDEAD5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D1EBD8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3ECDA"/>
          <bgColor rgb="FF000000"/>
        </patternFill>
      </fill>
    </dxf>
    <dxf>
      <fill>
        <patternFill patternType="solid">
          <fgColor rgb="FFD4EDDB"/>
          <bgColor rgb="FF000000"/>
        </patternFill>
      </fill>
    </dxf>
    <dxf>
      <fill>
        <patternFill patternType="solid">
          <fgColor rgb="FFD8EEDE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BF0E0"/>
          <bgColor rgb="FF000000"/>
        </patternFill>
      </fill>
    </dxf>
    <dxf>
      <fill>
        <patternFill patternType="solid">
          <fgColor rgb="FFDCF0E1"/>
          <bgColor rgb="FF000000"/>
        </patternFill>
      </fill>
    </dxf>
    <dxf>
      <fill>
        <patternFill patternType="solid">
          <fgColor rgb="FFDDF0E2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EF1E3"/>
          <bgColor rgb="FF000000"/>
        </patternFill>
      </fill>
    </dxf>
    <dxf>
      <fill>
        <patternFill patternType="solid">
          <fgColor rgb="FFDFF1E4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3F3E7"/>
          <bgColor rgb="FF000000"/>
        </patternFill>
      </fill>
    </dxf>
    <dxf>
      <fill>
        <patternFill patternType="solid">
          <fgColor rgb="FFE4F3E8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6F4E9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E7F5EA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5EB"/>
          <bgColor rgb="FF000000"/>
        </patternFill>
      </fill>
    </dxf>
    <dxf>
      <fill>
        <patternFill patternType="solid">
          <fgColor rgb="FFE9F5EC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AF6EE"/>
          <bgColor rgb="FF000000"/>
        </patternFill>
      </fill>
    </dxf>
    <dxf>
      <fill>
        <patternFill patternType="solid">
          <fgColor rgb="FFEBF6EE"/>
          <bgColor rgb="FF000000"/>
        </patternFill>
      </fill>
    </dxf>
    <dxf>
      <fill>
        <patternFill patternType="solid">
          <fgColor rgb="FFECF7EE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DF7F0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EFF8F1"/>
          <bgColor rgb="FF000000"/>
        </patternFill>
      </fill>
    </dxf>
    <dxf>
      <fill>
        <patternFill patternType="solid">
          <fgColor rgb="FFEFF8F2"/>
          <bgColor rgb="FF000000"/>
        </patternFill>
      </fill>
    </dxf>
    <dxf>
      <fill>
        <patternFill patternType="solid">
          <fgColor rgb="FFF0F8F2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2F9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AF5"/>
          <bgColor rgb="FF000000"/>
        </patternFill>
      </fill>
    </dxf>
    <dxf>
      <fill>
        <patternFill patternType="solid">
          <fgColor rgb="FFF4FAF6"/>
          <bgColor rgb="FF000000"/>
        </patternFill>
      </fill>
    </dxf>
    <dxf>
      <fill>
        <patternFill patternType="solid">
          <fgColor rgb="FFF5FAF6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7FBF8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7779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A8789"/>
          <bgColor rgb="FF000000"/>
        </patternFill>
      </fill>
    </dxf>
    <dxf>
      <fill>
        <patternFill patternType="solid">
          <fgColor rgb="FFFAFDF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989A"/>
          <bgColor rgb="FF000000"/>
        </patternFill>
      </fill>
    </dxf>
    <dxf>
      <fill>
        <patternFill patternType="solid">
          <fgColor rgb="FFFBA2A3"/>
          <bgColor rgb="FF000000"/>
        </patternFill>
      </fill>
    </dxf>
    <dxf>
      <fill>
        <patternFill patternType="solid">
          <fgColor rgb="FFFBFDFB"/>
          <bgColor rgb="FF000000"/>
        </patternFill>
      </fill>
    </dxf>
    <dxf>
      <fill>
        <patternFill patternType="solid">
          <fgColor rgb="FFFCB2B3"/>
          <bgColor rgb="FF000000"/>
        </patternFill>
      </fill>
    </dxf>
    <dxf>
      <fill>
        <patternFill patternType="solid">
          <fgColor rgb="FFFCBCBC"/>
          <bgColor rgb="FF000000"/>
        </patternFill>
      </fill>
    </dxf>
    <dxf>
      <fill>
        <patternFill patternType="solid">
          <fgColor rgb="FFFCFDFC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C1C2"/>
          <bgColor rgb="FF000000"/>
        </patternFill>
      </fill>
    </dxf>
    <dxf>
      <fill>
        <patternFill patternType="solid">
          <fgColor rgb="FFFDC2C3"/>
          <bgColor rgb="FF000000"/>
        </patternFill>
      </fill>
    </dxf>
    <dxf>
      <fill>
        <patternFill patternType="solid">
          <fgColor rgb="FFFDC7C7"/>
          <bgColor rgb="FF000000"/>
        </patternFill>
      </fill>
    </dxf>
    <dxf>
      <fill>
        <patternFill patternType="solid">
          <fgColor rgb="FFFDC9CA"/>
          <bgColor rgb="FF000000"/>
        </patternFill>
      </fill>
    </dxf>
    <dxf>
      <fill>
        <patternFill patternType="solid">
          <fgColor rgb="FFFDCACB"/>
          <bgColor rgb="FF000000"/>
        </patternFill>
      </fill>
    </dxf>
    <dxf>
      <fill>
        <patternFill patternType="solid">
          <fgColor rgb="FFFDD3D4"/>
          <bgColor rgb="FF000000"/>
        </patternFill>
      </fill>
    </dxf>
    <dxf>
      <fill>
        <patternFill patternType="solid">
          <fgColor rgb="FFFDD5D5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D5D5"/>
          <bgColor rgb="FF000000"/>
        </patternFill>
      </fill>
    </dxf>
    <dxf>
      <fill>
        <patternFill patternType="solid">
          <fgColor rgb="FFFED5D6"/>
          <bgColor rgb="FF000000"/>
        </patternFill>
      </fill>
    </dxf>
    <dxf>
      <fill>
        <patternFill patternType="solid">
          <fgColor rgb="FFFED9D9"/>
          <bgColor rgb="FF000000"/>
        </patternFill>
      </fill>
    </dxf>
    <dxf>
      <fill>
        <patternFill patternType="solid">
          <fgColor rgb="FFFEDADA"/>
          <bgColor rgb="FF000000"/>
        </patternFill>
      </fill>
    </dxf>
    <dxf>
      <fill>
        <patternFill patternType="solid">
          <fgColor rgb="FFFEDBDC"/>
          <bgColor rgb="FF000000"/>
        </patternFill>
      </fill>
    </dxf>
    <dxf>
      <fill>
        <patternFill patternType="solid">
          <fgColor rgb="FFFEDCDC"/>
          <bgColor rgb="FF000000"/>
        </patternFill>
      </fill>
    </dxf>
    <dxf>
      <fill>
        <patternFill patternType="solid">
          <fgColor rgb="FFFEDDDE"/>
          <bgColor rgb="FF000000"/>
        </patternFill>
      </fill>
    </dxf>
    <dxf>
      <fill>
        <patternFill patternType="solid">
          <fgColor rgb="FFFEDFDF"/>
          <bgColor rgb="FF000000"/>
        </patternFill>
      </fill>
    </dxf>
    <dxf>
      <fill>
        <patternFill patternType="solid">
          <fgColor rgb="FFFEE1E2"/>
          <bgColor rgb="FF000000"/>
        </patternFill>
      </fill>
    </dxf>
    <dxf>
      <fill>
        <patternFill patternType="solid">
          <fgColor rgb="FFFEE5E5"/>
          <bgColor rgb="FF000000"/>
        </patternFill>
      </fill>
    </dxf>
    <dxf>
      <fill>
        <patternFill patternType="solid">
          <fgColor rgb="FFFEE6E6"/>
          <bgColor rgb="FF000000"/>
        </patternFill>
      </fill>
    </dxf>
    <dxf>
      <fill>
        <patternFill patternType="solid">
          <fgColor rgb="FFFEE8E8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0F1"/>
          <bgColor rgb="FF000000"/>
        </patternFill>
      </fill>
    </dxf>
    <dxf>
      <fill>
        <patternFill patternType="solid">
          <fgColor rgb="FFFFF1F1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fgColor rgb="FFFFF4F4"/>
          <bgColor rgb="FF000000"/>
        </patternFill>
      </fill>
    </dxf>
    <dxf>
      <fill>
        <patternFill patternType="solid">
          <fgColor rgb="FFFFF7F7"/>
          <bgColor rgb="FF000000"/>
        </patternFill>
      </fill>
    </dxf>
    <dxf>
      <fill>
        <patternFill patternType="solid">
          <fgColor rgb="FFFFF9F9"/>
          <bgColor rgb="FF000000"/>
        </patternFill>
      </fill>
    </dxf>
    <dxf>
      <fill>
        <patternFill patternType="solid">
          <fgColor rgb="FFFFFAFA"/>
          <bgColor rgb="FF000000"/>
        </patternFill>
      </fill>
    </dxf>
    <dxf>
      <fill>
        <patternFill patternType="solid">
          <fgColor rgb="FFFFFBFB"/>
          <bgColor rgb="FF000000"/>
        </patternFill>
      </fill>
    </dxf>
    <dxf>
      <fill>
        <patternFill patternType="solid">
          <fgColor rgb="FFFFFCFC"/>
          <bgColor rgb="FF000000"/>
        </patternFill>
      </fill>
    </dxf>
    <dxf>
      <fill>
        <patternFill patternType="solid">
          <fgColor rgb="FFFFFDF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6A1B9A"/>
      <rgbColor rgb="FF008080"/>
      <rgbColor rgb="FFBFBFBF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4A7EBB"/>
      <rgbColor rgb="FF999999"/>
      <rgbColor rgb="FF003366"/>
      <rgbColor rgb="FF2E7D32"/>
      <rgbColor rgb="FF003300"/>
      <rgbColor rgb="FF333300"/>
      <rgbColor rgb="FFB71C1C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Projects by Health Flag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# Projects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Dashboard!$B$13:$B$15</c:f>
              <c:strCache>
                <c:ptCount val="3"/>
                <c:pt idx="0">
                  <c:v>On Track</c:v>
                </c:pt>
                <c:pt idx="1">
                  <c:v>At Risk</c:v>
                </c:pt>
                <c:pt idx="2">
                  <c:v>Over Budget</c:v>
                </c:pt>
              </c:strCache>
            </c:strRef>
          </c:cat>
          <c:val>
            <c:numRef>
              <c:f>Dashboard!$C$13:$C$15</c:f>
              <c:numCache>
                <c:formatCode>General</c:formatCode>
                <c:ptCount val="3"/>
                <c:pt idx="0">
                  <c:v>11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94443238"/>
        <c:axId val="62461859"/>
      </c:barChart>
      <c:catAx>
        <c:axId val="944432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# Projects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461859"/>
        <c:crosses val="autoZero"/>
        <c:auto val="1"/>
        <c:lblAlgn val="ctr"/>
        <c:lblOffset val="100"/>
        <c:noMultiLvlLbl val="0"/>
      </c:catAx>
      <c:valAx>
        <c:axId val="62461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Health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432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Planned vs Actual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Dashboard!J20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Dashboard!$I$21:$I$32</c:f>
              <c:strCache>
                <c:ptCount val="12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  <c:pt idx="6">
                  <c:v>Dec 2025</c:v>
                </c:pt>
                <c:pt idx="7">
                  <c:v>Jan 2026</c:v>
                </c:pt>
                <c:pt idx="8">
                  <c:v>Feb 2026</c:v>
                </c:pt>
                <c:pt idx="9">
                  <c:v>Mar 2026</c:v>
                </c:pt>
                <c:pt idx="10">
                  <c:v>Apr 2026</c:v>
                </c:pt>
                <c:pt idx="11">
                  <c:v>May 2026</c:v>
                </c:pt>
              </c:strCache>
            </c:strRef>
          </c:cat>
          <c:val>
            <c:numRef>
              <c:f>Dashboard!$J$21:$J$32</c:f>
              <c:numCache>
                <c:formatCode>\$#,##0</c:formatCode>
                <c:ptCount val="12"/>
                <c:pt idx="0">
                  <c:v>316596.9</c:v>
                </c:pt>
                <c:pt idx="1">
                  <c:v>318655.51</c:v>
                </c:pt>
                <c:pt idx="2">
                  <c:v>317824.96</c:v>
                </c:pt>
                <c:pt idx="3">
                  <c:v>311002.97</c:v>
                </c:pt>
                <c:pt idx="4">
                  <c:v>304867.78</c:v>
                </c:pt>
                <c:pt idx="5">
                  <c:v>315279.41</c:v>
                </c:pt>
                <c:pt idx="6">
                  <c:v>317134.37</c:v>
                </c:pt>
                <c:pt idx="7">
                  <c:v>310567.4</c:v>
                </c:pt>
                <c:pt idx="8">
                  <c:v>316348.69</c:v>
                </c:pt>
                <c:pt idx="9">
                  <c:v>312110.86</c:v>
                </c:pt>
                <c:pt idx="10">
                  <c:v>309765.78</c:v>
                </c:pt>
                <c:pt idx="11">
                  <c:v>313370.87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Dashboard!K20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Dashboard!$I$21:$I$32</c:f>
              <c:strCache>
                <c:ptCount val="12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  <c:pt idx="6">
                  <c:v>Dec 2025</c:v>
                </c:pt>
                <c:pt idx="7">
                  <c:v>Jan 2026</c:v>
                </c:pt>
                <c:pt idx="8">
                  <c:v>Feb 2026</c:v>
                </c:pt>
                <c:pt idx="9">
                  <c:v>Mar 2026</c:v>
                </c:pt>
                <c:pt idx="10">
                  <c:v>Apr 2026</c:v>
                </c:pt>
                <c:pt idx="11">
                  <c:v>May 2026</c:v>
                </c:pt>
              </c:strCache>
            </c:strRef>
          </c:cat>
          <c:val>
            <c:numRef>
              <c:f>Dashboard!$K$21:$K$32</c:f>
              <c:numCache>
                <c:formatCode>\$#,##0</c:formatCode>
                <c:ptCount val="12"/>
                <c:pt idx="0">
                  <c:v>232791.02</c:v>
                </c:pt>
                <c:pt idx="1">
                  <c:v>223739.36</c:v>
                </c:pt>
                <c:pt idx="2">
                  <c:v>237730.05</c:v>
                </c:pt>
                <c:pt idx="3">
                  <c:v>246632.42</c:v>
                </c:pt>
                <c:pt idx="4">
                  <c:v>252939.9</c:v>
                </c:pt>
                <c:pt idx="5">
                  <c:v>239124.15</c:v>
                </c:pt>
                <c:pt idx="6">
                  <c:v>238608.19</c:v>
                </c:pt>
                <c:pt idx="7">
                  <c:v>263791.38</c:v>
                </c:pt>
                <c:pt idx="8">
                  <c:v>227558.44</c:v>
                </c:pt>
                <c:pt idx="9">
                  <c:v>231435.61</c:v>
                </c:pt>
                <c:pt idx="10">
                  <c:v>259467.29</c:v>
                </c:pt>
                <c:pt idx="11">
                  <c:v>225552.74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096911"/>
        <c:axId val="14190046"/>
      </c:lineChart>
      <c:catAx>
        <c:axId val="310969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190046"/>
        <c:crosses val="autoZero"/>
        <c:auto val="1"/>
        <c:lblAlgn val="ctr"/>
        <c:lblOffset val="100"/>
        <c:noMultiLvlLbl val="0"/>
      </c:catAx>
      <c:valAx>
        <c:axId val="14190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0969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10</xdr:col>
      <xdr:colOff>317160</xdr:colOff>
      <xdr:row>23</xdr:row>
      <xdr:rowOff>43200</xdr:rowOff>
    </xdr:to>
    <xdr:graphicFrame>
      <xdr:nvGraphicFramePr>
        <xdr:cNvPr id="1" name="Chart 1"/>
        <xdr:cNvGraphicFramePr/>
      </xdr:nvGraphicFramePr>
      <xdr:xfrm>
        <a:off x="6250320" y="225180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458280</xdr:colOff>
      <xdr:row>42</xdr:row>
      <xdr:rowOff>43200</xdr:rowOff>
    </xdr:to>
    <xdr:graphicFrame>
      <xdr:nvGraphicFramePr>
        <xdr:cNvPr id="2" name="Chart 2"/>
        <xdr:cNvGraphicFramePr/>
      </xdr:nvGraphicFramePr>
      <xdr:xfrm>
        <a:off x="611640" y="58712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udget" displayName="tBudget" ref="A1:G241" headerRowCount="1" totalsRowCount="0" totalsRowShown="0">
  <autoFilter ref="A1:G241"/>
  <tableColumns count="7">
    <tableColumn id="1" name="record_id"/>
    <tableColumn id="2" name="project_id"/>
    <tableColumn id="3" name="project_name"/>
    <tableColumn id="4" name="month_start"/>
    <tableColumn id="5" name="budgeted_amount"/>
    <tableColumn id="6" name="actual_amount"/>
    <tableColumn id="7" name="variance"/>
  </tableColumns>
</table>
</file>

<file path=xl/tables/table2.xml><?xml version="1.0" encoding="utf-8"?>
<table xmlns="http://schemas.openxmlformats.org/spreadsheetml/2006/main" id="2" name="tProjects" displayName="tProjects" ref="A1:N21" headerRowCount="1" totalsRowCount="0" totalsRowShown="0">
  <autoFilter ref="A1:N21"/>
  <tableColumns count="14">
    <tableColumn id="1" name="project_id"/>
    <tableColumn id="2" name="project_name"/>
    <tableColumn id="3" name="client_name"/>
    <tableColumn id="4" name="project_manager"/>
    <tableColumn id="5" name="start_date"/>
    <tableColumn id="6" name="planned_end_date"/>
    <tableColumn id="7" name="actual_end_date"/>
    <tableColumn id="8" name="status"/>
    <tableColumn id="9" name="budget_amount"/>
    <tableColumn id="10" name="actual_amount"/>
    <tableColumn id="11" name="pct_complete"/>
    <tableColumn id="12" name="pct_budget_burned"/>
    <tableColumn id="13" name="health_flag"/>
    <tableColumn id="14" name="overrun"/>
  </tableColumns>
</table>
</file>

<file path=xl/tables/table3.xml><?xml version="1.0" encoding="utf-8"?>
<table xmlns="http://schemas.openxmlformats.org/spreadsheetml/2006/main" id="3" name="tTasks" displayName="tTasks" ref="A1:I455" headerRowCount="1" totalsRowCount="0" totalsRowShown="0">
  <autoFilter ref="A1:I455"/>
  <tableColumns count="9">
    <tableColumn id="1" name="task_id"/>
    <tableColumn id="2" name="project_id"/>
    <tableColumn id="3" name="task_name"/>
    <tableColumn id="4" name="assignee"/>
    <tableColumn id="5" name="due_date"/>
    <tableColumn id="6" name="completed_date"/>
    <tableColumn id="7" name="status"/>
    <tableColumn id="8" name="estimated_hours"/>
    <tableColumn id="9" name="overdue_flag"/>
  </tableColumns>
</table>
</file>

<file path=xl/tables/table4.xml><?xml version="1.0" encoding="utf-8"?>
<table xmlns="http://schemas.openxmlformats.org/spreadsheetml/2006/main" id="4" name="tTime" displayName="tTime" ref="A1:F348" headerRowCount="1" totalsRowCount="0" totalsRowShown="0">
  <autoFilter ref="A1:F348"/>
  <tableColumns count="6">
    <tableColumn id="1" name="employee_id"/>
    <tableColumn id="2" name="employee"/>
    <tableColumn id="3" name="department"/>
    <tableColumn id="4" name="week_start"/>
    <tableColumn id="5" name="hours_this_week"/>
    <tableColumn id="6" name="capacity_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22.0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2"/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5" t="s">
        <v>3</v>
      </c>
      <c r="B6" s="5" t="s">
        <v>4</v>
      </c>
    </row>
    <row r="7" customFormat="false" ht="15" hidden="false" customHeight="false" outlineLevel="0" collapsed="false">
      <c r="A7" s="6" t="s">
        <v>5</v>
      </c>
      <c r="B7" s="7" t="s">
        <v>6</v>
      </c>
    </row>
    <row r="8" customFormat="false" ht="15" hidden="false" customHeight="false" outlineLevel="0" collapsed="false">
      <c r="A8" s="6" t="s">
        <v>7</v>
      </c>
      <c r="B8" s="7" t="s">
        <v>8</v>
      </c>
    </row>
    <row r="9" customFormat="false" ht="15" hidden="false" customHeight="false" outlineLevel="0" collapsed="false">
      <c r="A9" s="6" t="s">
        <v>9</v>
      </c>
      <c r="B9" s="7" t="s">
        <v>10</v>
      </c>
    </row>
    <row r="10" customFormat="false" ht="15" hidden="false" customHeight="false" outlineLevel="0" collapsed="false">
      <c r="A10" s="6" t="s">
        <v>11</v>
      </c>
      <c r="B10" s="7" t="s">
        <v>12</v>
      </c>
    </row>
    <row r="11" customFormat="false" ht="15" hidden="false" customHeight="false" outlineLevel="0" collapsed="false">
      <c r="A11" s="6" t="s">
        <v>13</v>
      </c>
      <c r="B11" s="7" t="s">
        <v>14</v>
      </c>
    </row>
    <row r="12" customFormat="false" ht="15" hidden="false" customHeight="false" outlineLevel="0" collapsed="false">
      <c r="A12" s="6" t="s">
        <v>15</v>
      </c>
      <c r="B12" s="7" t="s">
        <v>16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4" t="s">
        <v>17</v>
      </c>
      <c r="B14" s="2"/>
    </row>
    <row r="15" customFormat="false" ht="15" hidden="false" customHeight="false" outlineLevel="0" collapsed="false">
      <c r="A15" s="7" t="s">
        <v>18</v>
      </c>
      <c r="B15" s="2"/>
    </row>
    <row r="16" customFormat="false" ht="15" hidden="false" customHeight="false" outlineLevel="0" collapsed="false">
      <c r="A16" s="7" t="s">
        <v>19</v>
      </c>
      <c r="B16" s="2"/>
    </row>
    <row r="17" customFormat="false" ht="15" hidden="false" customHeight="false" outlineLevel="0" collapsed="false">
      <c r="A17" s="7" t="s">
        <v>20</v>
      </c>
      <c r="B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10" min="6" style="0" width="13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4" min="13" style="0" width="13"/>
  </cols>
  <sheetData>
    <row r="1" customFormat="false" ht="1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</row>
    <row r="2" customFormat="false" ht="15" hidden="false" customHeight="false" outlineLevel="0" collapsed="false">
      <c r="A2" s="2" t="n">
        <v>1</v>
      </c>
      <c r="B2" s="2" t="s">
        <v>35</v>
      </c>
      <c r="C2" s="2" t="s">
        <v>36</v>
      </c>
      <c r="D2" s="2" t="s">
        <v>37</v>
      </c>
      <c r="E2" s="8" t="n">
        <v>45903</v>
      </c>
      <c r="F2" s="8" t="n">
        <v>46131</v>
      </c>
      <c r="G2" s="8"/>
      <c r="H2" s="2" t="s">
        <v>38</v>
      </c>
      <c r="I2" s="9" t="n">
        <v>60000</v>
      </c>
      <c r="J2" s="9" t="n">
        <v>70571.26</v>
      </c>
      <c r="K2" s="10" t="n">
        <f aca="false">IFERROR(COUNTIFS(Data_Tasks!B:B,A2,Data_Tasks!G:G,"Done")/COUNTIFS(Data_Tasks!B:B,A2),0)</f>
        <v>0.125</v>
      </c>
      <c r="L2" s="10" t="n">
        <f aca="false">IFERROR(J2/I2,0)</f>
        <v>1.17618766666667</v>
      </c>
      <c r="M2" s="2" t="str">
        <f aca="false">IF(J2&gt;I2,"Over Budget",IF((L2-K2)&gt;0.15,"At Risk","On Track"))</f>
        <v>Over Budget</v>
      </c>
      <c r="N2" s="9" t="n">
        <f aca="false">J2-I2</f>
        <v>10571.26</v>
      </c>
    </row>
    <row r="3" customFormat="false" ht="15" hidden="false" customHeight="false" outlineLevel="0" collapsed="false">
      <c r="A3" s="2" t="n">
        <v>2</v>
      </c>
      <c r="B3" s="2" t="s">
        <v>39</v>
      </c>
      <c r="C3" s="2" t="s">
        <v>40</v>
      </c>
      <c r="D3" s="2" t="s">
        <v>41</v>
      </c>
      <c r="E3" s="8" t="n">
        <v>46034</v>
      </c>
      <c r="F3" s="8" t="n">
        <v>46169</v>
      </c>
      <c r="G3" s="8"/>
      <c r="H3" s="2" t="s">
        <v>38</v>
      </c>
      <c r="I3" s="9" t="n">
        <v>80000</v>
      </c>
      <c r="J3" s="9" t="n">
        <v>61637.85</v>
      </c>
      <c r="K3" s="10" t="n">
        <f aca="false">IFERROR(COUNTIFS(Data_Tasks!B:B,A3,Data_Tasks!G:G,"Done")/COUNTIFS(Data_Tasks!B:B,A3),0)</f>
        <v>0.80952380952381</v>
      </c>
      <c r="L3" s="10" t="n">
        <f aca="false">IFERROR(J3/I3,0)</f>
        <v>0.770473125</v>
      </c>
      <c r="M3" s="2" t="str">
        <f aca="false">IF(J3&gt;I3,"Over Budget",IF((L3-K3)&gt;0.15,"At Risk","On Track"))</f>
        <v>On Track</v>
      </c>
      <c r="N3" s="9" t="n">
        <f aca="false">J3-I3</f>
        <v>-18362.15</v>
      </c>
    </row>
    <row r="4" customFormat="false" ht="15" hidden="false" customHeight="false" outlineLevel="0" collapsed="false">
      <c r="A4" s="2" t="n">
        <v>3</v>
      </c>
      <c r="B4" s="2" t="s">
        <v>42</v>
      </c>
      <c r="C4" s="2" t="s">
        <v>43</v>
      </c>
      <c r="D4" s="2" t="s">
        <v>44</v>
      </c>
      <c r="E4" s="8" t="n">
        <v>45986</v>
      </c>
      <c r="F4" s="8" t="n">
        <v>46154</v>
      </c>
      <c r="G4" s="8" t="n">
        <v>46181</v>
      </c>
      <c r="H4" s="2" t="s">
        <v>45</v>
      </c>
      <c r="I4" s="9" t="n">
        <v>300000</v>
      </c>
      <c r="J4" s="9" t="n">
        <v>264230.08</v>
      </c>
      <c r="K4" s="10" t="n">
        <f aca="false">IFERROR(COUNTIFS(Data_Tasks!B:B,A4,Data_Tasks!G:G,"Done")/COUNTIFS(Data_Tasks!B:B,A4),0)</f>
        <v>0.333333333333333</v>
      </c>
      <c r="L4" s="10" t="n">
        <f aca="false">IFERROR(J4/I4,0)</f>
        <v>0.880766933333333</v>
      </c>
      <c r="M4" s="2" t="str">
        <f aca="false">IF(J4&gt;I4,"Over Budget",IF((L4-K4)&gt;0.15,"At Risk","On Track"))</f>
        <v>At Risk</v>
      </c>
      <c r="N4" s="9" t="n">
        <f aca="false">J4-I4</f>
        <v>-35769.92</v>
      </c>
    </row>
    <row r="5" customFormat="false" ht="15" hidden="false" customHeight="false" outlineLevel="0" collapsed="false">
      <c r="A5" s="2" t="n">
        <v>4</v>
      </c>
      <c r="B5" s="2" t="s">
        <v>46</v>
      </c>
      <c r="C5" s="2" t="s">
        <v>36</v>
      </c>
      <c r="D5" s="2" t="s">
        <v>47</v>
      </c>
      <c r="E5" s="8" t="n">
        <v>45942</v>
      </c>
      <c r="F5" s="8" t="n">
        <v>46180</v>
      </c>
      <c r="G5" s="8"/>
      <c r="H5" s="2" t="s">
        <v>48</v>
      </c>
      <c r="I5" s="9" t="n">
        <v>400000</v>
      </c>
      <c r="J5" s="9" t="n">
        <v>448485.6</v>
      </c>
      <c r="K5" s="10" t="n">
        <f aca="false">IFERROR(COUNTIFS(Data_Tasks!B:B,A5,Data_Tasks!G:G,"Done")/COUNTIFS(Data_Tasks!B:B,A5),0)</f>
        <v>0.037037037037037</v>
      </c>
      <c r="L5" s="10" t="n">
        <f aca="false">IFERROR(J5/I5,0)</f>
        <v>1.121214</v>
      </c>
      <c r="M5" s="2" t="str">
        <f aca="false">IF(J5&gt;I5,"Over Budget",IF((L5-K5)&gt;0.15,"At Risk","On Track"))</f>
        <v>Over Budget</v>
      </c>
      <c r="N5" s="9" t="n">
        <f aca="false">J5-I5</f>
        <v>48485.6</v>
      </c>
    </row>
    <row r="6" customFormat="false" ht="15" hidden="false" customHeight="false" outlineLevel="0" collapsed="false">
      <c r="A6" s="2" t="n">
        <v>5</v>
      </c>
      <c r="B6" s="2" t="s">
        <v>49</v>
      </c>
      <c r="C6" s="2" t="s">
        <v>50</v>
      </c>
      <c r="D6" s="2" t="s">
        <v>51</v>
      </c>
      <c r="E6" s="8" t="n">
        <v>45803</v>
      </c>
      <c r="F6" s="8" t="n">
        <v>45948</v>
      </c>
      <c r="G6" s="8"/>
      <c r="H6" s="2" t="s">
        <v>48</v>
      </c>
      <c r="I6" s="9" t="n">
        <v>60000</v>
      </c>
      <c r="J6" s="9" t="n">
        <v>24832.96</v>
      </c>
      <c r="K6" s="10" t="n">
        <f aca="false">IFERROR(COUNTIFS(Data_Tasks!B:B,A6,Data_Tasks!G:G,"Done")/COUNTIFS(Data_Tasks!B:B,A6),0)</f>
        <v>0.3</v>
      </c>
      <c r="L6" s="10" t="n">
        <f aca="false">IFERROR(J6/I6,0)</f>
        <v>0.413882666666667</v>
      </c>
      <c r="M6" s="2" t="str">
        <f aca="false">IF(J6&gt;I6,"Over Budget",IF((L6-K6)&gt;0.15,"At Risk","On Track"))</f>
        <v>On Track</v>
      </c>
      <c r="N6" s="9" t="n">
        <f aca="false">J6-I6</f>
        <v>-35167.04</v>
      </c>
    </row>
    <row r="7" customFormat="false" ht="15" hidden="false" customHeight="false" outlineLevel="0" collapsed="false">
      <c r="A7" s="2" t="n">
        <v>6</v>
      </c>
      <c r="B7" s="2" t="s">
        <v>52</v>
      </c>
      <c r="C7" s="2" t="s">
        <v>40</v>
      </c>
      <c r="D7" s="2" t="s">
        <v>37</v>
      </c>
      <c r="E7" s="8" t="n">
        <v>45963</v>
      </c>
      <c r="F7" s="8" t="n">
        <v>46125</v>
      </c>
      <c r="G7" s="8"/>
      <c r="H7" s="2" t="s">
        <v>38</v>
      </c>
      <c r="I7" s="9" t="n">
        <v>400000</v>
      </c>
      <c r="J7" s="9" t="n">
        <v>291217.72</v>
      </c>
      <c r="K7" s="10" t="n">
        <f aca="false">IFERROR(COUNTIFS(Data_Tasks!B:B,A7,Data_Tasks!G:G,"Done")/COUNTIFS(Data_Tasks!B:B,A7),0)</f>
        <v>0.8</v>
      </c>
      <c r="L7" s="10" t="n">
        <f aca="false">IFERROR(J7/I7,0)</f>
        <v>0.7280443</v>
      </c>
      <c r="M7" s="2" t="str">
        <f aca="false">IF(J7&gt;I7,"Over Budget",IF((L7-K7)&gt;0.15,"At Risk","On Track"))</f>
        <v>On Track</v>
      </c>
      <c r="N7" s="9" t="n">
        <f aca="false">J7-I7</f>
        <v>-108782.28</v>
      </c>
    </row>
    <row r="8" customFormat="false" ht="15" hidden="false" customHeight="false" outlineLevel="0" collapsed="false">
      <c r="A8" s="2" t="n">
        <v>7</v>
      </c>
      <c r="B8" s="2" t="s">
        <v>53</v>
      </c>
      <c r="C8" s="2" t="s">
        <v>36</v>
      </c>
      <c r="D8" s="2" t="s">
        <v>54</v>
      </c>
      <c r="E8" s="8" t="n">
        <v>45879</v>
      </c>
      <c r="F8" s="8" t="n">
        <v>46230</v>
      </c>
      <c r="G8" s="8"/>
      <c r="H8" s="2" t="s">
        <v>48</v>
      </c>
      <c r="I8" s="9" t="n">
        <v>300000</v>
      </c>
      <c r="J8" s="9" t="n">
        <v>145584.09</v>
      </c>
      <c r="K8" s="10" t="n">
        <f aca="false">IFERROR(COUNTIFS(Data_Tasks!B:B,A8,Data_Tasks!G:G,"Done")/COUNTIFS(Data_Tasks!B:B,A8),0)</f>
        <v>0.5</v>
      </c>
      <c r="L8" s="10" t="n">
        <f aca="false">IFERROR(J8/I8,0)</f>
        <v>0.4852803</v>
      </c>
      <c r="M8" s="2" t="str">
        <f aca="false">IF(J8&gt;I8,"Over Budget",IF((L8-K8)&gt;0.15,"At Risk","On Track"))</f>
        <v>On Track</v>
      </c>
      <c r="N8" s="9" t="n">
        <f aca="false">J8-I8</f>
        <v>-154415.91</v>
      </c>
    </row>
    <row r="9" customFormat="false" ht="15" hidden="false" customHeight="false" outlineLevel="0" collapsed="false">
      <c r="A9" s="2" t="n">
        <v>8</v>
      </c>
      <c r="B9" s="2" t="s">
        <v>55</v>
      </c>
      <c r="C9" s="2" t="s">
        <v>56</v>
      </c>
      <c r="D9" s="2" t="s">
        <v>57</v>
      </c>
      <c r="E9" s="8" t="n">
        <v>45885</v>
      </c>
      <c r="F9" s="8" t="n">
        <v>46072</v>
      </c>
      <c r="G9" s="8"/>
      <c r="H9" s="2" t="s">
        <v>38</v>
      </c>
      <c r="I9" s="9" t="n">
        <v>300000</v>
      </c>
      <c r="J9" s="9" t="n">
        <v>135360.05</v>
      </c>
      <c r="K9" s="10" t="n">
        <f aca="false">IFERROR(COUNTIFS(Data_Tasks!B:B,A9,Data_Tasks!G:G,"Done")/COUNTIFS(Data_Tasks!B:B,A9),0)</f>
        <v>0.433333333333333</v>
      </c>
      <c r="L9" s="10" t="n">
        <f aca="false">IFERROR(J9/I9,0)</f>
        <v>0.451200166666667</v>
      </c>
      <c r="M9" s="2" t="str">
        <f aca="false">IF(J9&gt;I9,"Over Budget",IF((L9-K9)&gt;0.15,"At Risk","On Track"))</f>
        <v>On Track</v>
      </c>
      <c r="N9" s="9" t="n">
        <f aca="false">J9-I9</f>
        <v>-164639.95</v>
      </c>
    </row>
    <row r="10" customFormat="false" ht="15" hidden="false" customHeight="false" outlineLevel="0" collapsed="false">
      <c r="A10" s="2" t="n">
        <v>9</v>
      </c>
      <c r="B10" s="2" t="s">
        <v>58</v>
      </c>
      <c r="C10" s="2" t="s">
        <v>40</v>
      </c>
      <c r="D10" s="2" t="s">
        <v>37</v>
      </c>
      <c r="E10" s="8" t="n">
        <v>45800</v>
      </c>
      <c r="F10" s="8" t="n">
        <v>46089</v>
      </c>
      <c r="G10" s="8"/>
      <c r="H10" s="2" t="s">
        <v>59</v>
      </c>
      <c r="I10" s="9" t="n">
        <v>120000</v>
      </c>
      <c r="J10" s="9" t="n">
        <v>134103.24</v>
      </c>
      <c r="K10" s="10" t="n">
        <f aca="false">IFERROR(COUNTIFS(Data_Tasks!B:B,A10,Data_Tasks!G:G,"Done")/COUNTIFS(Data_Tasks!B:B,A10),0)</f>
        <v>0.0555555555555556</v>
      </c>
      <c r="L10" s="10" t="n">
        <f aca="false">IFERROR(J10/I10,0)</f>
        <v>1.117527</v>
      </c>
      <c r="M10" s="2" t="str">
        <f aca="false">IF(J10&gt;I10,"Over Budget",IF((L10-K10)&gt;0.15,"At Risk","On Track"))</f>
        <v>Over Budget</v>
      </c>
      <c r="N10" s="9" t="n">
        <f aca="false">J10-I10</f>
        <v>14103.24</v>
      </c>
    </row>
    <row r="11" customFormat="false" ht="15" hidden="false" customHeight="false" outlineLevel="0" collapsed="false">
      <c r="A11" s="2" t="n">
        <v>10</v>
      </c>
      <c r="B11" s="2" t="s">
        <v>60</v>
      </c>
      <c r="C11" s="2" t="s">
        <v>56</v>
      </c>
      <c r="D11" s="2" t="s">
        <v>51</v>
      </c>
      <c r="E11" s="8" t="n">
        <v>45933</v>
      </c>
      <c r="F11" s="8" t="n">
        <v>46108</v>
      </c>
      <c r="G11" s="8"/>
      <c r="H11" s="2" t="s">
        <v>48</v>
      </c>
      <c r="I11" s="9" t="n">
        <v>60000</v>
      </c>
      <c r="J11" s="9" t="n">
        <v>41299.68</v>
      </c>
      <c r="K11" s="10" t="n">
        <f aca="false">IFERROR(COUNTIFS(Data_Tasks!B:B,A11,Data_Tasks!G:G,"Done")/COUNTIFS(Data_Tasks!B:B,A11),0)</f>
        <v>0.62962962962963</v>
      </c>
      <c r="L11" s="10" t="n">
        <f aca="false">IFERROR(J11/I11,0)</f>
        <v>0.688328</v>
      </c>
      <c r="M11" s="2" t="str">
        <f aca="false">IF(J11&gt;I11,"Over Budget",IF((L11-K11)&gt;0.15,"At Risk","On Track"))</f>
        <v>On Track</v>
      </c>
      <c r="N11" s="9" t="n">
        <f aca="false">J11-I11</f>
        <v>-18700.32</v>
      </c>
    </row>
    <row r="12" customFormat="false" ht="15" hidden="false" customHeight="false" outlineLevel="0" collapsed="false">
      <c r="A12" s="2" t="n">
        <v>11</v>
      </c>
      <c r="B12" s="2" t="s">
        <v>61</v>
      </c>
      <c r="C12" s="2" t="s">
        <v>36</v>
      </c>
      <c r="D12" s="2" t="s">
        <v>37</v>
      </c>
      <c r="E12" s="8" t="n">
        <v>45924</v>
      </c>
      <c r="F12" s="8" t="n">
        <v>46058</v>
      </c>
      <c r="G12" s="8"/>
      <c r="H12" s="2" t="s">
        <v>48</v>
      </c>
      <c r="I12" s="9" t="n">
        <v>120000</v>
      </c>
      <c r="J12" s="9" t="n">
        <v>104491.44</v>
      </c>
      <c r="K12" s="10" t="n">
        <f aca="false">IFERROR(COUNTIFS(Data_Tasks!B:B,A12,Data_Tasks!G:G,"Done")/COUNTIFS(Data_Tasks!B:B,A12),0)</f>
        <v>0.266666666666667</v>
      </c>
      <c r="L12" s="10" t="n">
        <f aca="false">IFERROR(J12/I12,0)</f>
        <v>0.870762</v>
      </c>
      <c r="M12" s="2" t="str">
        <f aca="false">IF(J12&gt;I12,"Over Budget",IF((L12-K12)&gt;0.15,"At Risk","On Track"))</f>
        <v>At Risk</v>
      </c>
      <c r="N12" s="9" t="n">
        <f aca="false">J12-I12</f>
        <v>-15508.56</v>
      </c>
    </row>
    <row r="13" customFormat="false" ht="15" hidden="false" customHeight="false" outlineLevel="0" collapsed="false">
      <c r="A13" s="2" t="n">
        <v>12</v>
      </c>
      <c r="B13" s="2" t="s">
        <v>62</v>
      </c>
      <c r="C13" s="2" t="s">
        <v>63</v>
      </c>
      <c r="D13" s="2" t="s">
        <v>47</v>
      </c>
      <c r="E13" s="8" t="n">
        <v>45824</v>
      </c>
      <c r="F13" s="8" t="n">
        <v>45964</v>
      </c>
      <c r="G13" s="8"/>
      <c r="H13" s="2" t="s">
        <v>48</v>
      </c>
      <c r="I13" s="9" t="n">
        <v>80000</v>
      </c>
      <c r="J13" s="9" t="n">
        <v>37667.9</v>
      </c>
      <c r="K13" s="10" t="n">
        <f aca="false">IFERROR(COUNTIFS(Data_Tasks!B:B,A13,Data_Tasks!G:G,"Done")/COUNTIFS(Data_Tasks!B:B,A13),0)</f>
        <v>0.37037037037037</v>
      </c>
      <c r="L13" s="10" t="n">
        <f aca="false">IFERROR(J13/I13,0)</f>
        <v>0.47084875</v>
      </c>
      <c r="M13" s="2" t="str">
        <f aca="false">IF(J13&gt;I13,"Over Budget",IF((L13-K13)&gt;0.15,"At Risk","On Track"))</f>
        <v>On Track</v>
      </c>
      <c r="N13" s="9" t="n">
        <f aca="false">J13-I13</f>
        <v>-42332.1</v>
      </c>
    </row>
    <row r="14" customFormat="false" ht="15" hidden="false" customHeight="false" outlineLevel="0" collapsed="false">
      <c r="A14" s="2" t="n">
        <v>13</v>
      </c>
      <c r="B14" s="2" t="s">
        <v>64</v>
      </c>
      <c r="C14" s="2" t="s">
        <v>65</v>
      </c>
      <c r="D14" s="2" t="s">
        <v>66</v>
      </c>
      <c r="E14" s="8" t="n">
        <v>45964</v>
      </c>
      <c r="F14" s="8" t="n">
        <v>46187</v>
      </c>
      <c r="G14" s="8"/>
      <c r="H14" s="2" t="s">
        <v>48</v>
      </c>
      <c r="I14" s="9" t="n">
        <v>60000</v>
      </c>
      <c r="J14" s="9" t="n">
        <v>26040.2</v>
      </c>
      <c r="K14" s="10" t="n">
        <f aca="false">IFERROR(COUNTIFS(Data_Tasks!B:B,A14,Data_Tasks!G:G,"Done")/COUNTIFS(Data_Tasks!B:B,A14),0)</f>
        <v>0.37037037037037</v>
      </c>
      <c r="L14" s="10" t="n">
        <f aca="false">IFERROR(J14/I14,0)</f>
        <v>0.434003333333333</v>
      </c>
      <c r="M14" s="2" t="str">
        <f aca="false">IF(J14&gt;I14,"Over Budget",IF((L14-K14)&gt;0.15,"At Risk","On Track"))</f>
        <v>On Track</v>
      </c>
      <c r="N14" s="9" t="n">
        <f aca="false">J14-I14</f>
        <v>-33959.8</v>
      </c>
    </row>
    <row r="15" customFormat="false" ht="15" hidden="false" customHeight="false" outlineLevel="0" collapsed="false">
      <c r="A15" s="2" t="n">
        <v>14</v>
      </c>
      <c r="B15" s="2" t="s">
        <v>67</v>
      </c>
      <c r="C15" s="2" t="s">
        <v>68</v>
      </c>
      <c r="D15" s="2" t="s">
        <v>51</v>
      </c>
      <c r="E15" s="8" t="n">
        <v>46043</v>
      </c>
      <c r="F15" s="8" t="n">
        <v>46270</v>
      </c>
      <c r="G15" s="8"/>
      <c r="H15" s="2" t="s">
        <v>59</v>
      </c>
      <c r="I15" s="9" t="n">
        <v>250000</v>
      </c>
      <c r="J15" s="9" t="n">
        <v>167929.01</v>
      </c>
      <c r="K15" s="10" t="n">
        <f aca="false">IFERROR(COUNTIFS(Data_Tasks!B:B,A15,Data_Tasks!G:G,"Done")/COUNTIFS(Data_Tasks!B:B,A15),0)</f>
        <v>0.6</v>
      </c>
      <c r="L15" s="10" t="n">
        <f aca="false">IFERROR(J15/I15,0)</f>
        <v>0.67171604</v>
      </c>
      <c r="M15" s="2" t="str">
        <f aca="false">IF(J15&gt;I15,"Over Budget",IF((L15-K15)&gt;0.15,"At Risk","On Track"))</f>
        <v>On Track</v>
      </c>
      <c r="N15" s="9" t="n">
        <f aca="false">J15-I15</f>
        <v>-82070.99</v>
      </c>
    </row>
    <row r="16" customFormat="false" ht="15" hidden="false" customHeight="false" outlineLevel="0" collapsed="false">
      <c r="A16" s="2" t="n">
        <v>15</v>
      </c>
      <c r="B16" s="2" t="s">
        <v>69</v>
      </c>
      <c r="C16" s="2" t="s">
        <v>70</v>
      </c>
      <c r="D16" s="2" t="s">
        <v>41</v>
      </c>
      <c r="E16" s="8" t="n">
        <v>45951</v>
      </c>
      <c r="F16" s="8" t="n">
        <v>46123</v>
      </c>
      <c r="G16" s="8"/>
      <c r="H16" s="2" t="s">
        <v>59</v>
      </c>
      <c r="I16" s="9" t="n">
        <v>150000</v>
      </c>
      <c r="J16" s="9" t="n">
        <v>172363.52</v>
      </c>
      <c r="K16" s="10" t="n">
        <f aca="false">IFERROR(COUNTIFS(Data_Tasks!B:B,A16,Data_Tasks!G:G,"Done")/COUNTIFS(Data_Tasks!B:B,A16),0)</f>
        <v>0.130434782608696</v>
      </c>
      <c r="L16" s="10" t="n">
        <f aca="false">IFERROR(J16/I16,0)</f>
        <v>1.14909013333333</v>
      </c>
      <c r="M16" s="2" t="str">
        <f aca="false">IF(J16&gt;I16,"Over Budget",IF((L16-K16)&gt;0.15,"At Risk","On Track"))</f>
        <v>Over Budget</v>
      </c>
      <c r="N16" s="9" t="n">
        <f aca="false">J16-I16</f>
        <v>22363.52</v>
      </c>
    </row>
    <row r="17" customFormat="false" ht="15" hidden="false" customHeight="false" outlineLevel="0" collapsed="false">
      <c r="A17" s="2" t="n">
        <v>16</v>
      </c>
      <c r="B17" s="2" t="s">
        <v>71</v>
      </c>
      <c r="C17" s="2" t="s">
        <v>72</v>
      </c>
      <c r="D17" s="2" t="s">
        <v>57</v>
      </c>
      <c r="E17" s="8" t="n">
        <v>45882</v>
      </c>
      <c r="F17" s="8" t="n">
        <v>46035</v>
      </c>
      <c r="G17" s="8"/>
      <c r="H17" s="2" t="s">
        <v>59</v>
      </c>
      <c r="I17" s="9" t="n">
        <v>400000</v>
      </c>
      <c r="J17" s="9" t="n">
        <v>344175.23</v>
      </c>
      <c r="K17" s="10" t="n">
        <f aca="false">IFERROR(COUNTIFS(Data_Tasks!B:B,A17,Data_Tasks!G:G,"Done")/COUNTIFS(Data_Tasks!B:B,A17),0)</f>
        <v>0.166666666666667</v>
      </c>
      <c r="L17" s="10" t="n">
        <f aca="false">IFERROR(J17/I17,0)</f>
        <v>0.860438075</v>
      </c>
      <c r="M17" s="2" t="str">
        <f aca="false">IF(J17&gt;I17,"Over Budget",IF((L17-K17)&gt;0.15,"At Risk","On Track"))</f>
        <v>At Risk</v>
      </c>
      <c r="N17" s="9" t="n">
        <f aca="false">J17-I17</f>
        <v>-55824.77</v>
      </c>
    </row>
    <row r="18" customFormat="false" ht="15" hidden="false" customHeight="false" outlineLevel="0" collapsed="false">
      <c r="A18" s="2" t="n">
        <v>17</v>
      </c>
      <c r="B18" s="2" t="s">
        <v>73</v>
      </c>
      <c r="C18" s="2" t="s">
        <v>74</v>
      </c>
      <c r="D18" s="2" t="s">
        <v>47</v>
      </c>
      <c r="E18" s="8" t="n">
        <v>46047</v>
      </c>
      <c r="F18" s="8" t="n">
        <v>46169</v>
      </c>
      <c r="G18" s="8"/>
      <c r="H18" s="2" t="s">
        <v>38</v>
      </c>
      <c r="I18" s="9" t="n">
        <v>80000</v>
      </c>
      <c r="J18" s="9" t="n">
        <v>58747.08</v>
      </c>
      <c r="K18" s="10" t="n">
        <f aca="false">IFERROR(COUNTIFS(Data_Tasks!B:B,A18,Data_Tasks!G:G,"Done")/COUNTIFS(Data_Tasks!B:B,A18),0)</f>
        <v>0.714285714285714</v>
      </c>
      <c r="L18" s="10" t="n">
        <f aca="false">IFERROR(J18/I18,0)</f>
        <v>0.7343385</v>
      </c>
      <c r="M18" s="2" t="str">
        <f aca="false">IF(J18&gt;I18,"Over Budget",IF((L18-K18)&gt;0.15,"At Risk","On Track"))</f>
        <v>On Track</v>
      </c>
      <c r="N18" s="9" t="n">
        <f aca="false">J18-I18</f>
        <v>-21252.92</v>
      </c>
    </row>
    <row r="19" customFormat="false" ht="15" hidden="false" customHeight="false" outlineLevel="0" collapsed="false">
      <c r="A19" s="2" t="n">
        <v>18</v>
      </c>
      <c r="B19" s="2" t="s">
        <v>75</v>
      </c>
      <c r="C19" s="2" t="s">
        <v>68</v>
      </c>
      <c r="D19" s="2" t="s">
        <v>44</v>
      </c>
      <c r="E19" s="8" t="n">
        <v>45975</v>
      </c>
      <c r="F19" s="8" t="n">
        <v>46224</v>
      </c>
      <c r="G19" s="8"/>
      <c r="H19" s="2" t="s">
        <v>76</v>
      </c>
      <c r="I19" s="9" t="n">
        <v>250000</v>
      </c>
      <c r="J19" s="9" t="n">
        <v>204091.48</v>
      </c>
      <c r="K19" s="10" t="n">
        <f aca="false">IFERROR(COUNTIFS(Data_Tasks!B:B,A19,Data_Tasks!G:G,"Done")/COUNTIFS(Data_Tasks!B:B,A19),0)</f>
        <v>0.111111111111111</v>
      </c>
      <c r="L19" s="10" t="n">
        <f aca="false">IFERROR(J19/I19,0)</f>
        <v>0.81636592</v>
      </c>
      <c r="M19" s="2" t="str">
        <f aca="false">IF(J19&gt;I19,"Over Budget",IF((L19-K19)&gt;0.15,"At Risk","On Track"))</f>
        <v>At Risk</v>
      </c>
      <c r="N19" s="9" t="n">
        <f aca="false">J19-I19</f>
        <v>-45908.52</v>
      </c>
    </row>
    <row r="20" customFormat="false" ht="15" hidden="false" customHeight="false" outlineLevel="0" collapsed="false">
      <c r="A20" s="2" t="n">
        <v>19</v>
      </c>
      <c r="B20" s="2" t="s">
        <v>77</v>
      </c>
      <c r="C20" s="2" t="s">
        <v>43</v>
      </c>
      <c r="D20" s="2" t="s">
        <v>41</v>
      </c>
      <c r="E20" s="8" t="n">
        <v>46049</v>
      </c>
      <c r="F20" s="8" t="n">
        <v>46394</v>
      </c>
      <c r="G20" s="8"/>
      <c r="H20" s="2" t="s">
        <v>48</v>
      </c>
      <c r="I20" s="9" t="n">
        <v>200000</v>
      </c>
      <c r="J20" s="9" t="n">
        <v>95493.56</v>
      </c>
      <c r="K20" s="10" t="n">
        <f aca="false">IFERROR(COUNTIFS(Data_Tasks!B:B,A20,Data_Tasks!G:G,"Done")/COUNTIFS(Data_Tasks!B:B,A20),0)</f>
        <v>0.466666666666667</v>
      </c>
      <c r="L20" s="10" t="n">
        <f aca="false">IFERROR(J20/I20,0)</f>
        <v>0.4774678</v>
      </c>
      <c r="M20" s="2" t="str">
        <f aca="false">IF(J20&gt;I20,"Over Budget",IF((L20-K20)&gt;0.15,"At Risk","On Track"))</f>
        <v>On Track</v>
      </c>
      <c r="N20" s="9" t="n">
        <f aca="false">J20-I20</f>
        <v>-104506.44</v>
      </c>
    </row>
    <row r="21" customFormat="false" ht="15" hidden="false" customHeight="false" outlineLevel="0" collapsed="false">
      <c r="A21" s="2" t="n">
        <v>20</v>
      </c>
      <c r="B21" s="2" t="s">
        <v>78</v>
      </c>
      <c r="C21" s="2" t="s">
        <v>63</v>
      </c>
      <c r="D21" s="2" t="s">
        <v>51</v>
      </c>
      <c r="E21" s="8" t="n">
        <v>45860</v>
      </c>
      <c r="F21" s="8" t="n">
        <v>46193</v>
      </c>
      <c r="G21" s="8" t="n">
        <v>46201</v>
      </c>
      <c r="H21" s="2" t="s">
        <v>45</v>
      </c>
      <c r="I21" s="9" t="n">
        <v>60000</v>
      </c>
      <c r="J21" s="9" t="n">
        <v>51048.6</v>
      </c>
      <c r="K21" s="10" t="n">
        <f aca="false">IFERROR(COUNTIFS(Data_Tasks!B:B,A21,Data_Tasks!G:G,"Done")/COUNTIFS(Data_Tasks!B:B,A21),0)</f>
        <v>0.176470588235294</v>
      </c>
      <c r="L21" s="10" t="n">
        <f aca="false">IFERROR(J21/I21,0)</f>
        <v>0.85081</v>
      </c>
      <c r="M21" s="2" t="str">
        <f aca="false">IF(J21&gt;I21,"Over Budget",IF((L21-K21)&gt;0.15,"At Risk","On Track"))</f>
        <v>At Risk</v>
      </c>
      <c r="N21" s="9" t="n">
        <f aca="false">J21-I21</f>
        <v>-8951.4</v>
      </c>
    </row>
  </sheetData>
  <conditionalFormatting sqref="M2:M21">
    <cfRule type="cellIs" priority="2" operator="equal" aboveAverage="0" equalAverage="0" bottom="0" percent="0" rank="0" text="" dxfId="8">
      <formula>"On Track"</formula>
    </cfRule>
    <cfRule type="cellIs" priority="3" operator="equal" aboveAverage="0" equalAverage="0" bottom="0" percent="0" rank="0" text="" dxfId="9">
      <formula>"At Risk"</formula>
    </cfRule>
    <cfRule type="cellIs" priority="4" operator="equal" aboveAverage="0" equalAverage="0" bottom="0" percent="0" rank="0" text="" dxfId="10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5" t="s">
        <v>79</v>
      </c>
      <c r="B1" s="5" t="s">
        <v>21</v>
      </c>
      <c r="C1" s="5" t="s">
        <v>80</v>
      </c>
      <c r="D1" s="5" t="s">
        <v>81</v>
      </c>
      <c r="E1" s="5" t="s">
        <v>82</v>
      </c>
      <c r="F1" s="5" t="s">
        <v>83</v>
      </c>
      <c r="G1" s="5" t="s">
        <v>28</v>
      </c>
      <c r="H1" s="5" t="s">
        <v>84</v>
      </c>
      <c r="I1" s="5" t="s">
        <v>85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86</v>
      </c>
      <c r="D2" s="2" t="s">
        <v>87</v>
      </c>
      <c r="E2" s="8" t="n">
        <v>46079</v>
      </c>
      <c r="F2" s="8"/>
      <c r="G2" s="2" t="s">
        <v>88</v>
      </c>
      <c r="H2" s="2" t="n">
        <v>4</v>
      </c>
      <c r="I2" s="2" t="str">
        <f aca="true">IF(AND(G2&lt;&gt;"Done",E2&lt;TODAY()),"Overdue","")</f>
        <v>Overdue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89</v>
      </c>
      <c r="D3" s="2" t="s">
        <v>90</v>
      </c>
      <c r="E3" s="8" t="n">
        <v>45937</v>
      </c>
      <c r="F3" s="8"/>
      <c r="G3" s="2" t="s">
        <v>48</v>
      </c>
      <c r="H3" s="2" t="n">
        <v>40</v>
      </c>
      <c r="I3" s="2" t="str">
        <f aca="true">IF(AND(G3&lt;&gt;"Done",E3&lt;TODAY()),"Overdue","")</f>
        <v>Overdue</v>
      </c>
    </row>
    <row r="4" customFormat="false" ht="15" hidden="false" customHeight="false" outlineLevel="0" collapsed="false">
      <c r="A4" s="2" t="n">
        <v>3</v>
      </c>
      <c r="B4" s="2" t="n">
        <v>1</v>
      </c>
      <c r="C4" s="2" t="s">
        <v>91</v>
      </c>
      <c r="D4" s="2" t="s">
        <v>92</v>
      </c>
      <c r="E4" s="8" t="n">
        <v>45963</v>
      </c>
      <c r="F4" s="8"/>
      <c r="G4" s="2" t="s">
        <v>48</v>
      </c>
      <c r="H4" s="2" t="n">
        <v>80</v>
      </c>
      <c r="I4" s="2" t="str">
        <f aca="true">IF(AND(G4&lt;&gt;"Done",E4&lt;TODAY()),"Overdue","")</f>
        <v>Overdue</v>
      </c>
    </row>
    <row r="5" customFormat="false" ht="15" hidden="false" customHeight="false" outlineLevel="0" collapsed="false">
      <c r="A5" s="2" t="n">
        <v>4</v>
      </c>
      <c r="B5" s="2" t="n">
        <v>1</v>
      </c>
      <c r="C5" s="2" t="s">
        <v>93</v>
      </c>
      <c r="D5" s="2" t="s">
        <v>66</v>
      </c>
      <c r="E5" s="8" t="n">
        <v>45977</v>
      </c>
      <c r="F5" s="8"/>
      <c r="G5" s="2" t="s">
        <v>48</v>
      </c>
      <c r="H5" s="2" t="n">
        <v>4</v>
      </c>
      <c r="I5" s="2" t="str">
        <f aca="true">IF(AND(G5&lt;&gt;"Done",E5&lt;TODAY()),"Overdue","")</f>
        <v>Overdue</v>
      </c>
    </row>
    <row r="6" customFormat="false" ht="15" hidden="false" customHeight="false" outlineLevel="0" collapsed="false">
      <c r="A6" s="2" t="n">
        <v>5</v>
      </c>
      <c r="B6" s="2" t="n">
        <v>1</v>
      </c>
      <c r="C6" s="2" t="s">
        <v>94</v>
      </c>
      <c r="D6" s="2" t="s">
        <v>95</v>
      </c>
      <c r="E6" s="8" t="n">
        <v>46072</v>
      </c>
      <c r="F6" s="8"/>
      <c r="G6" s="2" t="s">
        <v>88</v>
      </c>
      <c r="H6" s="2" t="n">
        <v>16</v>
      </c>
      <c r="I6" s="2" t="str">
        <f aca="true">IF(AND(G6&lt;&gt;"Done",E6&lt;TODAY()),"Overdue","")</f>
        <v>Overdue</v>
      </c>
    </row>
    <row r="7" customFormat="false" ht="15" hidden="false" customHeight="false" outlineLevel="0" collapsed="false">
      <c r="A7" s="2" t="n">
        <v>6</v>
      </c>
      <c r="B7" s="2" t="n">
        <v>1</v>
      </c>
      <c r="C7" s="2" t="s">
        <v>96</v>
      </c>
      <c r="D7" s="2" t="s">
        <v>97</v>
      </c>
      <c r="E7" s="8" t="n">
        <v>46107</v>
      </c>
      <c r="F7" s="8"/>
      <c r="G7" s="2" t="s">
        <v>88</v>
      </c>
      <c r="H7" s="2" t="n">
        <v>24</v>
      </c>
      <c r="I7" s="2" t="str">
        <f aca="true">IF(AND(G7&lt;&gt;"Done",E7&lt;TODAY()),"Overdue","")</f>
        <v>Overdue</v>
      </c>
    </row>
    <row r="8" customFormat="false" ht="15" hidden="false" customHeight="false" outlineLevel="0" collapsed="false">
      <c r="A8" s="2" t="n">
        <v>7</v>
      </c>
      <c r="B8" s="2" t="n">
        <v>1</v>
      </c>
      <c r="C8" s="2" t="s">
        <v>98</v>
      </c>
      <c r="D8" s="2" t="s">
        <v>99</v>
      </c>
      <c r="E8" s="8" t="n">
        <v>46051</v>
      </c>
      <c r="F8" s="8"/>
      <c r="G8" s="2" t="s">
        <v>48</v>
      </c>
      <c r="H8" s="2" t="n">
        <v>4</v>
      </c>
      <c r="I8" s="2" t="str">
        <f aca="true">IF(AND(G8&lt;&gt;"Done",E8&lt;TODAY()),"Overdue","")</f>
        <v>Overdue</v>
      </c>
    </row>
    <row r="9" customFormat="false" ht="15" hidden="false" customHeight="false" outlineLevel="0" collapsed="false">
      <c r="A9" s="2" t="n">
        <v>8</v>
      </c>
      <c r="B9" s="2" t="n">
        <v>1</v>
      </c>
      <c r="C9" s="2" t="s">
        <v>98</v>
      </c>
      <c r="D9" s="2" t="s">
        <v>100</v>
      </c>
      <c r="E9" s="8" t="n">
        <v>46086</v>
      </c>
      <c r="F9" s="8"/>
      <c r="G9" s="2" t="s">
        <v>101</v>
      </c>
      <c r="H9" s="2" t="n">
        <v>40</v>
      </c>
      <c r="I9" s="2" t="str">
        <f aca="true">IF(AND(G9&lt;&gt;"Done",E9&lt;TODAY()),"Overdue","")</f>
        <v>Overdue</v>
      </c>
    </row>
    <row r="10" customFormat="false" ht="15" hidden="false" customHeight="false" outlineLevel="0" collapsed="false">
      <c r="A10" s="2" t="n">
        <v>9</v>
      </c>
      <c r="B10" s="2" t="n">
        <v>1</v>
      </c>
      <c r="C10" s="2" t="s">
        <v>102</v>
      </c>
      <c r="D10" s="2" t="s">
        <v>103</v>
      </c>
      <c r="E10" s="8" t="n">
        <v>46051</v>
      </c>
      <c r="F10" s="8"/>
      <c r="G10" s="2" t="s">
        <v>88</v>
      </c>
      <c r="H10" s="2" t="n">
        <v>16</v>
      </c>
      <c r="I10" s="2" t="str">
        <f aca="true">IF(AND(G10&lt;&gt;"Done",E10&lt;TODAY()),"Overdue","")</f>
        <v>Overdue</v>
      </c>
    </row>
    <row r="11" customFormat="false" ht="15" hidden="false" customHeight="false" outlineLevel="0" collapsed="false">
      <c r="A11" s="2" t="n">
        <v>10</v>
      </c>
      <c r="B11" s="2" t="n">
        <v>1</v>
      </c>
      <c r="C11" s="2" t="s">
        <v>104</v>
      </c>
      <c r="D11" s="2" t="s">
        <v>105</v>
      </c>
      <c r="E11" s="8" t="n">
        <v>46113</v>
      </c>
      <c r="F11" s="8"/>
      <c r="G11" s="2" t="s">
        <v>101</v>
      </c>
      <c r="H11" s="2" t="n">
        <v>8</v>
      </c>
      <c r="I11" s="2" t="str">
        <f aca="true">IF(AND(G11&lt;&gt;"Done",E11&lt;TODAY()),"Overdue","")</f>
        <v>Overdue</v>
      </c>
    </row>
    <row r="12" customFormat="false" ht="15" hidden="false" customHeight="false" outlineLevel="0" collapsed="false">
      <c r="A12" s="2" t="n">
        <v>11</v>
      </c>
      <c r="B12" s="2" t="n">
        <v>1</v>
      </c>
      <c r="C12" s="2" t="s">
        <v>106</v>
      </c>
      <c r="D12" s="2" t="s">
        <v>107</v>
      </c>
      <c r="E12" s="8" t="n">
        <v>46084</v>
      </c>
      <c r="F12" s="8"/>
      <c r="G12" s="2" t="s">
        <v>88</v>
      </c>
      <c r="H12" s="2" t="n">
        <v>40</v>
      </c>
      <c r="I12" s="2" t="str">
        <f aca="true">IF(AND(G12&lt;&gt;"Done",E12&lt;TODAY()),"Overdue","")</f>
        <v>Overdue</v>
      </c>
    </row>
    <row r="13" customFormat="false" ht="15" hidden="false" customHeight="false" outlineLevel="0" collapsed="false">
      <c r="A13" s="2" t="n">
        <v>12</v>
      </c>
      <c r="B13" s="2" t="n">
        <v>1</v>
      </c>
      <c r="C13" s="2" t="s">
        <v>108</v>
      </c>
      <c r="D13" s="2" t="s">
        <v>109</v>
      </c>
      <c r="E13" s="8" t="n">
        <v>46014</v>
      </c>
      <c r="F13" s="8"/>
      <c r="G13" s="2" t="s">
        <v>101</v>
      </c>
      <c r="H13" s="2" t="n">
        <v>80</v>
      </c>
      <c r="I13" s="2" t="str">
        <f aca="true">IF(AND(G13&lt;&gt;"Done",E13&lt;TODAY()),"Overdue","")</f>
        <v>Overdue</v>
      </c>
    </row>
    <row r="14" customFormat="false" ht="15" hidden="false" customHeight="false" outlineLevel="0" collapsed="false">
      <c r="A14" s="2" t="n">
        <v>13</v>
      </c>
      <c r="B14" s="2" t="n">
        <v>1</v>
      </c>
      <c r="C14" s="2" t="s">
        <v>110</v>
      </c>
      <c r="D14" s="2" t="s">
        <v>111</v>
      </c>
      <c r="E14" s="8" t="n">
        <v>45951</v>
      </c>
      <c r="F14" s="8"/>
      <c r="G14" s="2" t="s">
        <v>101</v>
      </c>
      <c r="H14" s="2" t="n">
        <v>4</v>
      </c>
      <c r="I14" s="2" t="str">
        <f aca="true">IF(AND(G14&lt;&gt;"Done",E14&lt;TODAY()),"Overdue","")</f>
        <v>Overdue</v>
      </c>
    </row>
    <row r="15" customFormat="false" ht="15" hidden="false" customHeight="false" outlineLevel="0" collapsed="false">
      <c r="A15" s="2" t="n">
        <v>14</v>
      </c>
      <c r="B15" s="2" t="n">
        <v>1</v>
      </c>
      <c r="C15" s="2" t="s">
        <v>112</v>
      </c>
      <c r="D15" s="2" t="s">
        <v>111</v>
      </c>
      <c r="E15" s="8" t="n">
        <v>45955</v>
      </c>
      <c r="F15" s="8"/>
      <c r="G15" s="2" t="s">
        <v>48</v>
      </c>
      <c r="H15" s="2" t="n">
        <v>80</v>
      </c>
      <c r="I15" s="2" t="str">
        <f aca="true">IF(AND(G15&lt;&gt;"Done",E15&lt;TODAY()),"Overdue","")</f>
        <v>Overdue</v>
      </c>
    </row>
    <row r="16" customFormat="false" ht="15" hidden="false" customHeight="false" outlineLevel="0" collapsed="false">
      <c r="A16" s="2" t="n">
        <v>15</v>
      </c>
      <c r="B16" s="2" t="n">
        <v>1</v>
      </c>
      <c r="C16" s="2" t="s">
        <v>96</v>
      </c>
      <c r="D16" s="2" t="s">
        <v>113</v>
      </c>
      <c r="E16" s="8" t="n">
        <v>46081</v>
      </c>
      <c r="F16" s="8" t="n">
        <v>46081</v>
      </c>
      <c r="G16" s="2" t="s">
        <v>114</v>
      </c>
      <c r="H16" s="2" t="n">
        <v>4</v>
      </c>
      <c r="I16" s="2" t="str">
        <f aca="true">IF(AND(G16&lt;&gt;"Done",E16&lt;TODAY()),"Overdue","")</f>
        <v/>
      </c>
    </row>
    <row r="17" customFormat="false" ht="15" hidden="false" customHeight="false" outlineLevel="0" collapsed="false">
      <c r="A17" s="2" t="n">
        <v>16</v>
      </c>
      <c r="B17" s="2" t="n">
        <v>1</v>
      </c>
      <c r="C17" s="2" t="s">
        <v>115</v>
      </c>
      <c r="D17" s="2" t="s">
        <v>116</v>
      </c>
      <c r="E17" s="8" t="n">
        <v>46007</v>
      </c>
      <c r="F17" s="8" t="n">
        <v>46015</v>
      </c>
      <c r="G17" s="2" t="s">
        <v>114</v>
      </c>
      <c r="H17" s="2" t="n">
        <v>16</v>
      </c>
      <c r="I17" s="2" t="str">
        <f aca="true">IF(AND(G17&lt;&gt;"Done",E17&lt;TODAY()),"Overdue","")</f>
        <v/>
      </c>
    </row>
    <row r="18" customFormat="false" ht="15" hidden="false" customHeight="false" outlineLevel="0" collapsed="false">
      <c r="A18" s="2" t="n">
        <v>17</v>
      </c>
      <c r="B18" s="2" t="n">
        <v>1</v>
      </c>
      <c r="C18" s="2" t="s">
        <v>117</v>
      </c>
      <c r="D18" s="2" t="s">
        <v>118</v>
      </c>
      <c r="E18" s="8" t="n">
        <v>45988</v>
      </c>
      <c r="F18" s="8" t="n">
        <v>45988</v>
      </c>
      <c r="G18" s="2" t="s">
        <v>114</v>
      </c>
      <c r="H18" s="2" t="n">
        <v>8</v>
      </c>
      <c r="I18" s="2" t="str">
        <f aca="true">IF(AND(G18&lt;&gt;"Done",E18&lt;TODAY()),"Overdue","")</f>
        <v/>
      </c>
    </row>
    <row r="19" customFormat="false" ht="15" hidden="false" customHeight="false" outlineLevel="0" collapsed="false">
      <c r="A19" s="2" t="n">
        <v>18</v>
      </c>
      <c r="B19" s="2" t="n">
        <v>1</v>
      </c>
      <c r="C19" s="2" t="s">
        <v>119</v>
      </c>
      <c r="D19" s="2" t="s">
        <v>107</v>
      </c>
      <c r="E19" s="8" t="n">
        <v>46012</v>
      </c>
      <c r="F19" s="8"/>
      <c r="G19" s="2" t="s">
        <v>88</v>
      </c>
      <c r="H19" s="2" t="n">
        <v>16</v>
      </c>
      <c r="I19" s="2" t="str">
        <f aca="true">IF(AND(G19&lt;&gt;"Done",E19&lt;TODAY()),"Overdue","")</f>
        <v>Overdue</v>
      </c>
    </row>
    <row r="20" customFormat="false" ht="15" hidden="false" customHeight="false" outlineLevel="0" collapsed="false">
      <c r="A20" s="2" t="n">
        <v>19</v>
      </c>
      <c r="B20" s="2" t="n">
        <v>1</v>
      </c>
      <c r="C20" s="2" t="s">
        <v>120</v>
      </c>
      <c r="D20" s="2" t="s">
        <v>37</v>
      </c>
      <c r="E20" s="8" t="n">
        <v>45999</v>
      </c>
      <c r="F20" s="8"/>
      <c r="G20" s="2" t="s">
        <v>48</v>
      </c>
      <c r="H20" s="2" t="n">
        <v>16</v>
      </c>
      <c r="I20" s="2" t="str">
        <f aca="true">IF(AND(G20&lt;&gt;"Done",E20&lt;TODAY()),"Overdue","")</f>
        <v>Overdue</v>
      </c>
    </row>
    <row r="21" customFormat="false" ht="15" hidden="false" customHeight="false" outlineLevel="0" collapsed="false">
      <c r="A21" s="2" t="n">
        <v>20</v>
      </c>
      <c r="B21" s="2" t="n">
        <v>1</v>
      </c>
      <c r="C21" s="2" t="s">
        <v>96</v>
      </c>
      <c r="D21" s="2" t="s">
        <v>121</v>
      </c>
      <c r="E21" s="8" t="n">
        <v>45917</v>
      </c>
      <c r="F21" s="8"/>
      <c r="G21" s="2" t="s">
        <v>88</v>
      </c>
      <c r="H21" s="2" t="n">
        <v>16</v>
      </c>
      <c r="I21" s="2" t="str">
        <f aca="true">IF(AND(G21&lt;&gt;"Done",E21&lt;TODAY()),"Overdue","")</f>
        <v>Overdue</v>
      </c>
    </row>
    <row r="22" customFormat="false" ht="15" hidden="false" customHeight="false" outlineLevel="0" collapsed="false">
      <c r="A22" s="2" t="n">
        <v>21</v>
      </c>
      <c r="B22" s="2" t="n">
        <v>1</v>
      </c>
      <c r="C22" s="2" t="s">
        <v>122</v>
      </c>
      <c r="D22" s="2" t="s">
        <v>123</v>
      </c>
      <c r="E22" s="8" t="n">
        <v>45919</v>
      </c>
      <c r="F22" s="8"/>
      <c r="G22" s="2" t="s">
        <v>88</v>
      </c>
      <c r="H22" s="2" t="n">
        <v>80</v>
      </c>
      <c r="I22" s="2" t="str">
        <f aca="true">IF(AND(G22&lt;&gt;"Done",E22&lt;TODAY()),"Overdue","")</f>
        <v>Overdue</v>
      </c>
    </row>
    <row r="23" customFormat="false" ht="15" hidden="false" customHeight="false" outlineLevel="0" collapsed="false">
      <c r="A23" s="2" t="n">
        <v>22</v>
      </c>
      <c r="B23" s="2" t="n">
        <v>1</v>
      </c>
      <c r="C23" s="2" t="s">
        <v>124</v>
      </c>
      <c r="D23" s="2" t="s">
        <v>125</v>
      </c>
      <c r="E23" s="8" t="n">
        <v>45990</v>
      </c>
      <c r="F23" s="8"/>
      <c r="G23" s="2" t="s">
        <v>88</v>
      </c>
      <c r="H23" s="2" t="n">
        <v>40</v>
      </c>
      <c r="I23" s="2" t="str">
        <f aca="true">IF(AND(G23&lt;&gt;"Done",E23&lt;TODAY()),"Overdue","")</f>
        <v>Overdue</v>
      </c>
    </row>
    <row r="24" customFormat="false" ht="15" hidden="false" customHeight="false" outlineLevel="0" collapsed="false">
      <c r="A24" s="2" t="n">
        <v>23</v>
      </c>
      <c r="B24" s="2" t="n">
        <v>1</v>
      </c>
      <c r="C24" s="2" t="s">
        <v>126</v>
      </c>
      <c r="D24" s="2" t="s">
        <v>95</v>
      </c>
      <c r="E24" s="8" t="n">
        <v>45958</v>
      </c>
      <c r="F24" s="8"/>
      <c r="G24" s="2" t="s">
        <v>88</v>
      </c>
      <c r="H24" s="2" t="n">
        <v>40</v>
      </c>
      <c r="I24" s="2" t="str">
        <f aca="true">IF(AND(G24&lt;&gt;"Done",E24&lt;TODAY()),"Overdue","")</f>
        <v>Overdue</v>
      </c>
    </row>
    <row r="25" customFormat="false" ht="15" hidden="false" customHeight="false" outlineLevel="0" collapsed="false">
      <c r="A25" s="2" t="n">
        <v>24</v>
      </c>
      <c r="B25" s="2" t="n">
        <v>1</v>
      </c>
      <c r="C25" s="2" t="s">
        <v>127</v>
      </c>
      <c r="D25" s="2" t="s">
        <v>97</v>
      </c>
      <c r="E25" s="8" t="n">
        <v>46116</v>
      </c>
      <c r="F25" s="8"/>
      <c r="G25" s="2" t="s">
        <v>48</v>
      </c>
      <c r="H25" s="2" t="n">
        <v>60</v>
      </c>
      <c r="I25" s="2" t="str">
        <f aca="true">IF(AND(G25&lt;&gt;"Done",E25&lt;TODAY()),"Overdue","")</f>
        <v>Overdue</v>
      </c>
    </row>
    <row r="26" customFormat="false" ht="15" hidden="false" customHeight="false" outlineLevel="0" collapsed="false">
      <c r="A26" s="2" t="n">
        <v>25</v>
      </c>
      <c r="B26" s="2" t="n">
        <v>2</v>
      </c>
      <c r="C26" s="2" t="s">
        <v>128</v>
      </c>
      <c r="D26" s="2" t="s">
        <v>118</v>
      </c>
      <c r="E26" s="8" t="n">
        <v>46134</v>
      </c>
      <c r="F26" s="8" t="n">
        <v>46137</v>
      </c>
      <c r="G26" s="2" t="s">
        <v>114</v>
      </c>
      <c r="H26" s="2" t="n">
        <v>80</v>
      </c>
      <c r="I26" s="2" t="str">
        <f aca="true">IF(AND(G26&lt;&gt;"Done",E26&lt;TODAY()),"Overdue","")</f>
        <v/>
      </c>
    </row>
    <row r="27" customFormat="false" ht="15" hidden="false" customHeight="false" outlineLevel="0" collapsed="false">
      <c r="A27" s="2" t="n">
        <v>26</v>
      </c>
      <c r="B27" s="2" t="n">
        <v>2</v>
      </c>
      <c r="C27" s="2" t="s">
        <v>129</v>
      </c>
      <c r="D27" s="2" t="s">
        <v>118</v>
      </c>
      <c r="E27" s="8" t="n">
        <v>46072</v>
      </c>
      <c r="F27" s="8" t="n">
        <v>46074</v>
      </c>
      <c r="G27" s="2" t="s">
        <v>114</v>
      </c>
      <c r="H27" s="2" t="n">
        <v>24</v>
      </c>
      <c r="I27" s="2" t="str">
        <f aca="true">IF(AND(G27&lt;&gt;"Done",E27&lt;TODAY()),"Overdue","")</f>
        <v/>
      </c>
    </row>
    <row r="28" customFormat="false" ht="15" hidden="false" customHeight="false" outlineLevel="0" collapsed="false">
      <c r="A28" s="2" t="n">
        <v>27</v>
      </c>
      <c r="B28" s="2" t="n">
        <v>2</v>
      </c>
      <c r="C28" s="2" t="s">
        <v>130</v>
      </c>
      <c r="D28" s="2" t="s">
        <v>131</v>
      </c>
      <c r="E28" s="8" t="n">
        <v>46124</v>
      </c>
      <c r="F28" s="8" t="n">
        <v>46126</v>
      </c>
      <c r="G28" s="2" t="s">
        <v>114</v>
      </c>
      <c r="H28" s="2" t="n">
        <v>24</v>
      </c>
      <c r="I28" s="2" t="str">
        <f aca="true">IF(AND(G28&lt;&gt;"Done",E28&lt;TODAY()),"Overdue","")</f>
        <v/>
      </c>
    </row>
    <row r="29" customFormat="false" ht="15" hidden="false" customHeight="false" outlineLevel="0" collapsed="false">
      <c r="A29" s="2" t="n">
        <v>28</v>
      </c>
      <c r="B29" s="2" t="n">
        <v>2</v>
      </c>
      <c r="C29" s="2" t="s">
        <v>132</v>
      </c>
      <c r="D29" s="2" t="s">
        <v>103</v>
      </c>
      <c r="E29" s="8" t="n">
        <v>46138</v>
      </c>
      <c r="F29" s="8" t="n">
        <v>46136</v>
      </c>
      <c r="G29" s="2" t="s">
        <v>114</v>
      </c>
      <c r="H29" s="2" t="n">
        <v>24</v>
      </c>
      <c r="I29" s="2" t="str">
        <f aca="true">IF(AND(G29&lt;&gt;"Done",E29&lt;TODAY()),"Overdue","")</f>
        <v/>
      </c>
    </row>
    <row r="30" customFormat="false" ht="15" hidden="false" customHeight="false" outlineLevel="0" collapsed="false">
      <c r="A30" s="2" t="n">
        <v>29</v>
      </c>
      <c r="B30" s="2" t="n">
        <v>2</v>
      </c>
      <c r="C30" s="2" t="s">
        <v>133</v>
      </c>
      <c r="D30" s="2" t="s">
        <v>121</v>
      </c>
      <c r="E30" s="8" t="n">
        <v>46041</v>
      </c>
      <c r="F30" s="8" t="n">
        <v>46040</v>
      </c>
      <c r="G30" s="2" t="s">
        <v>114</v>
      </c>
      <c r="H30" s="2" t="n">
        <v>40</v>
      </c>
      <c r="I30" s="2" t="str">
        <f aca="true">IF(AND(G30&lt;&gt;"Done",E30&lt;TODAY()),"Overdue","")</f>
        <v/>
      </c>
    </row>
    <row r="31" customFormat="false" ht="15" hidden="false" customHeight="false" outlineLevel="0" collapsed="false">
      <c r="A31" s="2" t="n">
        <v>30</v>
      </c>
      <c r="B31" s="2" t="n">
        <v>2</v>
      </c>
      <c r="C31" s="2" t="s">
        <v>134</v>
      </c>
      <c r="D31" s="2" t="s">
        <v>135</v>
      </c>
      <c r="E31" s="8" t="n">
        <v>46123</v>
      </c>
      <c r="F31" s="8" t="n">
        <v>46130</v>
      </c>
      <c r="G31" s="2" t="s">
        <v>114</v>
      </c>
      <c r="H31" s="2" t="n">
        <v>24</v>
      </c>
      <c r="I31" s="2" t="str">
        <f aca="true">IF(AND(G31&lt;&gt;"Done",E31&lt;TODAY()),"Overdue","")</f>
        <v/>
      </c>
    </row>
    <row r="32" customFormat="false" ht="15" hidden="false" customHeight="false" outlineLevel="0" collapsed="false">
      <c r="A32" s="2" t="n">
        <v>31</v>
      </c>
      <c r="B32" s="2" t="n">
        <v>2</v>
      </c>
      <c r="C32" s="2" t="s">
        <v>136</v>
      </c>
      <c r="D32" s="2" t="s">
        <v>92</v>
      </c>
      <c r="E32" s="8" t="n">
        <v>46084</v>
      </c>
      <c r="F32" s="8" t="n">
        <v>46086</v>
      </c>
      <c r="G32" s="2" t="s">
        <v>114</v>
      </c>
      <c r="H32" s="2" t="n">
        <v>40</v>
      </c>
      <c r="I32" s="2" t="str">
        <f aca="true">IF(AND(G32&lt;&gt;"Done",E32&lt;TODAY()),"Overdue","")</f>
        <v/>
      </c>
    </row>
    <row r="33" customFormat="false" ht="15" hidden="false" customHeight="false" outlineLevel="0" collapsed="false">
      <c r="A33" s="2" t="n">
        <v>32</v>
      </c>
      <c r="B33" s="2" t="n">
        <v>2</v>
      </c>
      <c r="C33" s="2" t="s">
        <v>137</v>
      </c>
      <c r="D33" s="2" t="s">
        <v>138</v>
      </c>
      <c r="E33" s="8" t="n">
        <v>46126</v>
      </c>
      <c r="F33" s="8"/>
      <c r="G33" s="2" t="s">
        <v>88</v>
      </c>
      <c r="H33" s="2" t="n">
        <v>16</v>
      </c>
      <c r="I33" s="2" t="str">
        <f aca="true">IF(AND(G33&lt;&gt;"Done",E33&lt;TODAY()),"Overdue","")</f>
        <v>Overdue</v>
      </c>
    </row>
    <row r="34" customFormat="false" ht="15" hidden="false" customHeight="false" outlineLevel="0" collapsed="false">
      <c r="A34" s="2" t="n">
        <v>33</v>
      </c>
      <c r="B34" s="2" t="n">
        <v>2</v>
      </c>
      <c r="C34" s="2" t="s">
        <v>139</v>
      </c>
      <c r="D34" s="2" t="s">
        <v>109</v>
      </c>
      <c r="E34" s="8" t="n">
        <v>46098</v>
      </c>
      <c r="F34" s="8" t="n">
        <v>46095</v>
      </c>
      <c r="G34" s="2" t="s">
        <v>114</v>
      </c>
      <c r="H34" s="2" t="n">
        <v>24</v>
      </c>
      <c r="I34" s="2" t="str">
        <f aca="true">IF(AND(G34&lt;&gt;"Done",E34&lt;TODAY()),"Overdue","")</f>
        <v/>
      </c>
    </row>
    <row r="35" customFormat="false" ht="15" hidden="false" customHeight="false" outlineLevel="0" collapsed="false">
      <c r="A35" s="2" t="n">
        <v>34</v>
      </c>
      <c r="B35" s="2" t="n">
        <v>2</v>
      </c>
      <c r="C35" s="2" t="s">
        <v>127</v>
      </c>
      <c r="D35" s="2" t="s">
        <v>125</v>
      </c>
      <c r="E35" s="8" t="n">
        <v>46059</v>
      </c>
      <c r="F35" s="8" t="n">
        <v>46058</v>
      </c>
      <c r="G35" s="2" t="s">
        <v>114</v>
      </c>
      <c r="H35" s="2" t="n">
        <v>24</v>
      </c>
      <c r="I35" s="2" t="str">
        <f aca="true">IF(AND(G35&lt;&gt;"Done",E35&lt;TODAY()),"Overdue","")</f>
        <v/>
      </c>
    </row>
    <row r="36" customFormat="false" ht="15" hidden="false" customHeight="false" outlineLevel="0" collapsed="false">
      <c r="A36" s="2" t="n">
        <v>35</v>
      </c>
      <c r="B36" s="2" t="n">
        <v>2</v>
      </c>
      <c r="C36" s="2" t="s">
        <v>140</v>
      </c>
      <c r="D36" s="2" t="s">
        <v>95</v>
      </c>
      <c r="E36" s="8" t="n">
        <v>46143</v>
      </c>
      <c r="F36" s="8"/>
      <c r="G36" s="2" t="s">
        <v>48</v>
      </c>
      <c r="H36" s="2" t="n">
        <v>80</v>
      </c>
      <c r="I36" s="2" t="str">
        <f aca="true">IF(AND(G36&lt;&gt;"Done",E36&lt;TODAY()),"Overdue","")</f>
        <v>Overdue</v>
      </c>
    </row>
    <row r="37" customFormat="false" ht="15" hidden="false" customHeight="false" outlineLevel="0" collapsed="false">
      <c r="A37" s="2" t="n">
        <v>36</v>
      </c>
      <c r="B37" s="2" t="n">
        <v>2</v>
      </c>
      <c r="C37" s="2" t="s">
        <v>141</v>
      </c>
      <c r="D37" s="2" t="s">
        <v>113</v>
      </c>
      <c r="E37" s="8" t="n">
        <v>46068</v>
      </c>
      <c r="F37" s="8" t="n">
        <v>46068</v>
      </c>
      <c r="G37" s="2" t="s">
        <v>114</v>
      </c>
      <c r="H37" s="2" t="n">
        <v>40</v>
      </c>
      <c r="I37" s="2" t="str">
        <f aca="true">IF(AND(G37&lt;&gt;"Done",E37&lt;TODAY()),"Overdue","")</f>
        <v/>
      </c>
    </row>
    <row r="38" customFormat="false" ht="15" hidden="false" customHeight="false" outlineLevel="0" collapsed="false">
      <c r="A38" s="2" t="n">
        <v>37</v>
      </c>
      <c r="B38" s="2" t="n">
        <v>2</v>
      </c>
      <c r="C38" s="2" t="s">
        <v>142</v>
      </c>
      <c r="D38" s="2" t="s">
        <v>99</v>
      </c>
      <c r="E38" s="8" t="n">
        <v>46159</v>
      </c>
      <c r="F38" s="8"/>
      <c r="G38" s="2" t="s">
        <v>88</v>
      </c>
      <c r="H38" s="2" t="n">
        <v>24</v>
      </c>
      <c r="I38" s="2" t="str">
        <f aca="true">IF(AND(G38&lt;&gt;"Done",E38&lt;TODAY()),"Overdue","")</f>
        <v/>
      </c>
    </row>
    <row r="39" customFormat="false" ht="15" hidden="false" customHeight="false" outlineLevel="0" collapsed="false">
      <c r="A39" s="2" t="n">
        <v>38</v>
      </c>
      <c r="B39" s="2" t="n">
        <v>2</v>
      </c>
      <c r="C39" s="2" t="s">
        <v>143</v>
      </c>
      <c r="D39" s="2" t="s">
        <v>144</v>
      </c>
      <c r="E39" s="8" t="n">
        <v>46075</v>
      </c>
      <c r="F39" s="8" t="n">
        <v>46084</v>
      </c>
      <c r="G39" s="2" t="s">
        <v>114</v>
      </c>
      <c r="H39" s="2" t="n">
        <v>80</v>
      </c>
      <c r="I39" s="2" t="str">
        <f aca="true">IF(AND(G39&lt;&gt;"Done",E39&lt;TODAY()),"Overdue","")</f>
        <v/>
      </c>
    </row>
    <row r="40" customFormat="false" ht="15" hidden="false" customHeight="false" outlineLevel="0" collapsed="false">
      <c r="A40" s="2" t="n">
        <v>39</v>
      </c>
      <c r="B40" s="2" t="n">
        <v>2</v>
      </c>
      <c r="C40" s="2" t="s">
        <v>145</v>
      </c>
      <c r="D40" s="2" t="s">
        <v>146</v>
      </c>
      <c r="E40" s="8" t="n">
        <v>46154</v>
      </c>
      <c r="F40" s="8" t="n">
        <v>46163</v>
      </c>
      <c r="G40" s="2" t="s">
        <v>114</v>
      </c>
      <c r="H40" s="2" t="n">
        <v>24</v>
      </c>
      <c r="I40" s="2" t="str">
        <f aca="true">IF(AND(G40&lt;&gt;"Done",E40&lt;TODAY()),"Overdue","")</f>
        <v/>
      </c>
    </row>
    <row r="41" customFormat="false" ht="15" hidden="false" customHeight="false" outlineLevel="0" collapsed="false">
      <c r="A41" s="2" t="n">
        <v>40</v>
      </c>
      <c r="B41" s="2" t="n">
        <v>2</v>
      </c>
      <c r="C41" s="2" t="s">
        <v>147</v>
      </c>
      <c r="D41" s="2" t="s">
        <v>148</v>
      </c>
      <c r="E41" s="8" t="n">
        <v>46081</v>
      </c>
      <c r="F41" s="8" t="n">
        <v>46089</v>
      </c>
      <c r="G41" s="2" t="s">
        <v>114</v>
      </c>
      <c r="H41" s="2" t="n">
        <v>8</v>
      </c>
      <c r="I41" s="2" t="str">
        <f aca="true">IF(AND(G41&lt;&gt;"Done",E41&lt;TODAY()),"Overdue","")</f>
        <v/>
      </c>
    </row>
    <row r="42" customFormat="false" ht="15" hidden="false" customHeight="false" outlineLevel="0" collapsed="false">
      <c r="A42" s="2" t="n">
        <v>41</v>
      </c>
      <c r="B42" s="2" t="n">
        <v>2</v>
      </c>
      <c r="C42" s="2" t="s">
        <v>149</v>
      </c>
      <c r="D42" s="2" t="s">
        <v>109</v>
      </c>
      <c r="E42" s="8" t="n">
        <v>46111</v>
      </c>
      <c r="F42" s="8" t="n">
        <v>46120</v>
      </c>
      <c r="G42" s="2" t="s">
        <v>114</v>
      </c>
      <c r="H42" s="2" t="n">
        <v>16</v>
      </c>
      <c r="I42" s="2" t="str">
        <f aca="true">IF(AND(G42&lt;&gt;"Done",E42&lt;TODAY()),"Overdue","")</f>
        <v/>
      </c>
    </row>
    <row r="43" customFormat="false" ht="15" hidden="false" customHeight="false" outlineLevel="0" collapsed="false">
      <c r="A43" s="2" t="n">
        <v>42</v>
      </c>
      <c r="B43" s="2" t="n">
        <v>2</v>
      </c>
      <c r="C43" s="2" t="s">
        <v>150</v>
      </c>
      <c r="D43" s="2" t="s">
        <v>151</v>
      </c>
      <c r="E43" s="8" t="n">
        <v>46153</v>
      </c>
      <c r="F43" s="8"/>
      <c r="G43" s="2" t="s">
        <v>88</v>
      </c>
      <c r="H43" s="2" t="n">
        <v>16</v>
      </c>
      <c r="I43" s="2" t="str">
        <f aca="true">IF(AND(G43&lt;&gt;"Done",E43&lt;TODAY()),"Overdue","")</f>
        <v/>
      </c>
    </row>
    <row r="44" customFormat="false" ht="15" hidden="false" customHeight="false" outlineLevel="0" collapsed="false">
      <c r="A44" s="2" t="n">
        <v>43</v>
      </c>
      <c r="B44" s="2" t="n">
        <v>2</v>
      </c>
      <c r="C44" s="2" t="s">
        <v>152</v>
      </c>
      <c r="D44" s="2" t="s">
        <v>153</v>
      </c>
      <c r="E44" s="8" t="n">
        <v>46122</v>
      </c>
      <c r="F44" s="8" t="n">
        <v>46117</v>
      </c>
      <c r="G44" s="2" t="s">
        <v>114</v>
      </c>
      <c r="H44" s="2" t="n">
        <v>24</v>
      </c>
      <c r="I44" s="2" t="str">
        <f aca="true">IF(AND(G44&lt;&gt;"Done",E44&lt;TODAY()),"Overdue","")</f>
        <v/>
      </c>
    </row>
    <row r="45" customFormat="false" ht="15" hidden="false" customHeight="false" outlineLevel="0" collapsed="false">
      <c r="A45" s="2" t="n">
        <v>44</v>
      </c>
      <c r="B45" s="2" t="n">
        <v>2</v>
      </c>
      <c r="C45" s="2" t="s">
        <v>154</v>
      </c>
      <c r="D45" s="2" t="s">
        <v>155</v>
      </c>
      <c r="E45" s="8" t="n">
        <v>46080</v>
      </c>
      <c r="F45" s="8" t="n">
        <v>46075</v>
      </c>
      <c r="G45" s="2" t="s">
        <v>114</v>
      </c>
      <c r="H45" s="2" t="n">
        <v>40</v>
      </c>
      <c r="I45" s="2" t="str">
        <f aca="true">IF(AND(G45&lt;&gt;"Done",E45&lt;TODAY()),"Overdue","")</f>
        <v/>
      </c>
    </row>
    <row r="46" customFormat="false" ht="15" hidden="false" customHeight="false" outlineLevel="0" collapsed="false">
      <c r="A46" s="2" t="n">
        <v>45</v>
      </c>
      <c r="B46" s="2" t="n">
        <v>2</v>
      </c>
      <c r="C46" s="2" t="s">
        <v>156</v>
      </c>
      <c r="D46" s="2" t="s">
        <v>125</v>
      </c>
      <c r="E46" s="8" t="n">
        <v>46160</v>
      </c>
      <c r="F46" s="8" t="n">
        <v>46159</v>
      </c>
      <c r="G46" s="2" t="s">
        <v>114</v>
      </c>
      <c r="H46" s="2" t="n">
        <v>80</v>
      </c>
      <c r="I46" s="2" t="str">
        <f aca="true">IF(AND(G46&lt;&gt;"Done",E46&lt;TODAY()),"Overdue","")</f>
        <v/>
      </c>
    </row>
    <row r="47" customFormat="false" ht="15" hidden="false" customHeight="false" outlineLevel="0" collapsed="false">
      <c r="A47" s="2" t="n">
        <v>46</v>
      </c>
      <c r="B47" s="2" t="n">
        <v>3</v>
      </c>
      <c r="C47" s="2" t="s">
        <v>157</v>
      </c>
      <c r="D47" s="2" t="s">
        <v>103</v>
      </c>
      <c r="E47" s="8" t="n">
        <v>46140</v>
      </c>
      <c r="F47" s="8"/>
      <c r="G47" s="2" t="s">
        <v>88</v>
      </c>
      <c r="H47" s="2" t="n">
        <v>80</v>
      </c>
      <c r="I47" s="2" t="str">
        <f aca="true">IF(AND(G47&lt;&gt;"Done",E47&lt;TODAY()),"Overdue","")</f>
        <v>Overdue</v>
      </c>
    </row>
    <row r="48" customFormat="false" ht="15" hidden="false" customHeight="false" outlineLevel="0" collapsed="false">
      <c r="A48" s="2" t="n">
        <v>47</v>
      </c>
      <c r="B48" s="2" t="n">
        <v>3</v>
      </c>
      <c r="C48" s="2" t="s">
        <v>158</v>
      </c>
      <c r="D48" s="2" t="s">
        <v>97</v>
      </c>
      <c r="E48" s="8" t="n">
        <v>46092</v>
      </c>
      <c r="F48" s="8" t="n">
        <v>46098</v>
      </c>
      <c r="G48" s="2" t="s">
        <v>114</v>
      </c>
      <c r="H48" s="2" t="n">
        <v>40</v>
      </c>
      <c r="I48" s="2" t="str">
        <f aca="true">IF(AND(G48&lt;&gt;"Done",E48&lt;TODAY()),"Overdue","")</f>
        <v/>
      </c>
    </row>
    <row r="49" customFormat="false" ht="15" hidden="false" customHeight="false" outlineLevel="0" collapsed="false">
      <c r="A49" s="2" t="n">
        <v>48</v>
      </c>
      <c r="B49" s="2" t="n">
        <v>3</v>
      </c>
      <c r="C49" s="2" t="s">
        <v>159</v>
      </c>
      <c r="D49" s="2" t="s">
        <v>160</v>
      </c>
      <c r="E49" s="8" t="n">
        <v>46147</v>
      </c>
      <c r="F49" s="8" t="n">
        <v>46155</v>
      </c>
      <c r="G49" s="2" t="s">
        <v>114</v>
      </c>
      <c r="H49" s="2" t="n">
        <v>24</v>
      </c>
      <c r="I49" s="2" t="str">
        <f aca="true">IF(AND(G49&lt;&gt;"Done",E49&lt;TODAY()),"Overdue","")</f>
        <v/>
      </c>
    </row>
    <row r="50" customFormat="false" ht="15" hidden="false" customHeight="false" outlineLevel="0" collapsed="false">
      <c r="A50" s="2" t="n">
        <v>49</v>
      </c>
      <c r="B50" s="2" t="n">
        <v>3</v>
      </c>
      <c r="C50" s="2" t="s">
        <v>161</v>
      </c>
      <c r="D50" s="2" t="s">
        <v>162</v>
      </c>
      <c r="E50" s="8" t="n">
        <v>46000</v>
      </c>
      <c r="F50" s="8"/>
      <c r="G50" s="2" t="s">
        <v>88</v>
      </c>
      <c r="H50" s="2" t="n">
        <v>60</v>
      </c>
      <c r="I50" s="2" t="str">
        <f aca="true">IF(AND(G50&lt;&gt;"Done",E50&lt;TODAY()),"Overdue","")</f>
        <v>Overdue</v>
      </c>
    </row>
    <row r="51" customFormat="false" ht="15" hidden="false" customHeight="false" outlineLevel="0" collapsed="false">
      <c r="A51" s="2" t="n">
        <v>50</v>
      </c>
      <c r="B51" s="2" t="n">
        <v>3</v>
      </c>
      <c r="C51" s="2" t="s">
        <v>163</v>
      </c>
      <c r="D51" s="2" t="s">
        <v>47</v>
      </c>
      <c r="E51" s="8" t="n">
        <v>46035</v>
      </c>
      <c r="F51" s="8" t="n">
        <v>46032</v>
      </c>
      <c r="G51" s="2" t="s">
        <v>114</v>
      </c>
      <c r="H51" s="2" t="n">
        <v>24</v>
      </c>
      <c r="I51" s="2" t="str">
        <f aca="true">IF(AND(G51&lt;&gt;"Done",E51&lt;TODAY()),"Overdue","")</f>
        <v/>
      </c>
    </row>
    <row r="52" customFormat="false" ht="15" hidden="false" customHeight="false" outlineLevel="0" collapsed="false">
      <c r="A52" s="2" t="n">
        <v>51</v>
      </c>
      <c r="B52" s="2" t="n">
        <v>3</v>
      </c>
      <c r="C52" s="2" t="s">
        <v>164</v>
      </c>
      <c r="D52" s="2" t="s">
        <v>165</v>
      </c>
      <c r="E52" s="8" t="n">
        <v>46144</v>
      </c>
      <c r="F52" s="8"/>
      <c r="G52" s="2" t="s">
        <v>48</v>
      </c>
      <c r="H52" s="2" t="n">
        <v>24</v>
      </c>
      <c r="I52" s="2" t="str">
        <f aca="true">IF(AND(G52&lt;&gt;"Done",E52&lt;TODAY()),"Overdue","")</f>
        <v/>
      </c>
    </row>
    <row r="53" customFormat="false" ht="15" hidden="false" customHeight="false" outlineLevel="0" collapsed="false">
      <c r="A53" s="2" t="n">
        <v>52</v>
      </c>
      <c r="B53" s="2" t="n">
        <v>3</v>
      </c>
      <c r="C53" s="2" t="s">
        <v>166</v>
      </c>
      <c r="D53" s="2" t="s">
        <v>125</v>
      </c>
      <c r="E53" s="8" t="n">
        <v>46027</v>
      </c>
      <c r="F53" s="8" t="n">
        <v>46025</v>
      </c>
      <c r="G53" s="2" t="s">
        <v>114</v>
      </c>
      <c r="H53" s="2" t="n">
        <v>16</v>
      </c>
      <c r="I53" s="2" t="str">
        <f aca="true">IF(AND(G53&lt;&gt;"Done",E53&lt;TODAY()),"Overdue","")</f>
        <v/>
      </c>
    </row>
    <row r="54" customFormat="false" ht="15" hidden="false" customHeight="false" outlineLevel="0" collapsed="false">
      <c r="A54" s="2" t="n">
        <v>53</v>
      </c>
      <c r="B54" s="2" t="n">
        <v>3</v>
      </c>
      <c r="C54" s="2" t="s">
        <v>112</v>
      </c>
      <c r="D54" s="2" t="s">
        <v>125</v>
      </c>
      <c r="E54" s="8" t="n">
        <v>46047</v>
      </c>
      <c r="F54" s="8"/>
      <c r="G54" s="2" t="s">
        <v>48</v>
      </c>
      <c r="H54" s="2" t="n">
        <v>16</v>
      </c>
      <c r="I54" s="2" t="str">
        <f aca="true">IF(AND(G54&lt;&gt;"Done",E54&lt;TODAY()),"Overdue","")</f>
        <v>Overdue</v>
      </c>
    </row>
    <row r="55" customFormat="false" ht="15" hidden="false" customHeight="false" outlineLevel="0" collapsed="false">
      <c r="A55" s="2" t="n">
        <v>54</v>
      </c>
      <c r="B55" s="2" t="n">
        <v>3</v>
      </c>
      <c r="C55" s="2" t="s">
        <v>167</v>
      </c>
      <c r="D55" s="2" t="s">
        <v>47</v>
      </c>
      <c r="E55" s="8" t="n">
        <v>46100</v>
      </c>
      <c r="F55" s="8"/>
      <c r="G55" s="2" t="s">
        <v>88</v>
      </c>
      <c r="H55" s="2" t="n">
        <v>60</v>
      </c>
      <c r="I55" s="2" t="str">
        <f aca="true">IF(AND(G55&lt;&gt;"Done",E55&lt;TODAY()),"Overdue","")</f>
        <v>Overdue</v>
      </c>
    </row>
    <row r="56" customFormat="false" ht="15" hidden="false" customHeight="false" outlineLevel="0" collapsed="false">
      <c r="A56" s="2" t="n">
        <v>55</v>
      </c>
      <c r="B56" s="2" t="n">
        <v>3</v>
      </c>
      <c r="C56" s="2" t="s">
        <v>168</v>
      </c>
      <c r="D56" s="2" t="s">
        <v>165</v>
      </c>
      <c r="E56" s="8" t="n">
        <v>46131</v>
      </c>
      <c r="F56" s="8"/>
      <c r="G56" s="2" t="s">
        <v>88</v>
      </c>
      <c r="H56" s="2" t="n">
        <v>4</v>
      </c>
      <c r="I56" s="2" t="str">
        <f aca="true">IF(AND(G56&lt;&gt;"Done",E56&lt;TODAY()),"Overdue","")</f>
        <v>Overdue</v>
      </c>
    </row>
    <row r="57" customFormat="false" ht="15" hidden="false" customHeight="false" outlineLevel="0" collapsed="false">
      <c r="A57" s="2" t="n">
        <v>56</v>
      </c>
      <c r="B57" s="2" t="n">
        <v>3</v>
      </c>
      <c r="C57" s="2" t="s">
        <v>169</v>
      </c>
      <c r="D57" s="2" t="s">
        <v>47</v>
      </c>
      <c r="E57" s="8" t="n">
        <v>46003</v>
      </c>
      <c r="F57" s="8" t="n">
        <v>46003</v>
      </c>
      <c r="G57" s="2" t="s">
        <v>114</v>
      </c>
      <c r="H57" s="2" t="n">
        <v>40</v>
      </c>
      <c r="I57" s="2" t="str">
        <f aca="true">IF(AND(G57&lt;&gt;"Done",E57&lt;TODAY()),"Overdue","")</f>
        <v/>
      </c>
    </row>
    <row r="58" customFormat="false" ht="15" hidden="false" customHeight="false" outlineLevel="0" collapsed="false">
      <c r="A58" s="2" t="n">
        <v>57</v>
      </c>
      <c r="B58" s="2" t="n">
        <v>3</v>
      </c>
      <c r="C58" s="2" t="s">
        <v>149</v>
      </c>
      <c r="D58" s="2" t="s">
        <v>99</v>
      </c>
      <c r="E58" s="8" t="n">
        <v>46032</v>
      </c>
      <c r="F58" s="8"/>
      <c r="G58" s="2" t="s">
        <v>88</v>
      </c>
      <c r="H58" s="2" t="n">
        <v>40</v>
      </c>
      <c r="I58" s="2" t="str">
        <f aca="true">IF(AND(G58&lt;&gt;"Done",E58&lt;TODAY()),"Overdue","")</f>
        <v>Overdue</v>
      </c>
    </row>
    <row r="59" customFormat="false" ht="15" hidden="false" customHeight="false" outlineLevel="0" collapsed="false">
      <c r="A59" s="2" t="n">
        <v>58</v>
      </c>
      <c r="B59" s="2" t="n">
        <v>3</v>
      </c>
      <c r="C59" s="2" t="s">
        <v>170</v>
      </c>
      <c r="D59" s="2" t="s">
        <v>100</v>
      </c>
      <c r="E59" s="8" t="n">
        <v>46048</v>
      </c>
      <c r="F59" s="8"/>
      <c r="G59" s="2" t="s">
        <v>48</v>
      </c>
      <c r="H59" s="2" t="n">
        <v>8</v>
      </c>
      <c r="I59" s="2" t="str">
        <f aca="true">IF(AND(G59&lt;&gt;"Done",E59&lt;TODAY()),"Overdue","")</f>
        <v>Overdue</v>
      </c>
    </row>
    <row r="60" customFormat="false" ht="15" hidden="false" customHeight="false" outlineLevel="0" collapsed="false">
      <c r="A60" s="2" t="n">
        <v>59</v>
      </c>
      <c r="B60" s="2" t="n">
        <v>3</v>
      </c>
      <c r="C60" s="2" t="s">
        <v>127</v>
      </c>
      <c r="D60" s="2" t="s">
        <v>99</v>
      </c>
      <c r="E60" s="8" t="n">
        <v>46148</v>
      </c>
      <c r="F60" s="8"/>
      <c r="G60" s="2" t="s">
        <v>48</v>
      </c>
      <c r="H60" s="2" t="n">
        <v>80</v>
      </c>
      <c r="I60" s="2" t="str">
        <f aca="true">IF(AND(G60&lt;&gt;"Done",E60&lt;TODAY()),"Overdue","")</f>
        <v/>
      </c>
    </row>
    <row r="61" customFormat="false" ht="15" hidden="false" customHeight="false" outlineLevel="0" collapsed="false">
      <c r="A61" s="2" t="n">
        <v>60</v>
      </c>
      <c r="B61" s="2" t="n">
        <v>3</v>
      </c>
      <c r="C61" s="2" t="s">
        <v>171</v>
      </c>
      <c r="D61" s="2" t="s">
        <v>47</v>
      </c>
      <c r="E61" s="8" t="n">
        <v>46034</v>
      </c>
      <c r="F61" s="8"/>
      <c r="G61" s="2" t="s">
        <v>101</v>
      </c>
      <c r="H61" s="2" t="n">
        <v>16</v>
      </c>
      <c r="I61" s="2" t="str">
        <f aca="true">IF(AND(G61&lt;&gt;"Done",E61&lt;TODAY()),"Overdue","")</f>
        <v>Overdue</v>
      </c>
    </row>
    <row r="62" customFormat="false" ht="15" hidden="false" customHeight="false" outlineLevel="0" collapsed="false">
      <c r="A62" s="2" t="n">
        <v>61</v>
      </c>
      <c r="B62" s="2" t="n">
        <v>4</v>
      </c>
      <c r="C62" s="2" t="s">
        <v>172</v>
      </c>
      <c r="D62" s="2" t="s">
        <v>121</v>
      </c>
      <c r="E62" s="8" t="n">
        <v>46050</v>
      </c>
      <c r="F62" s="8"/>
      <c r="G62" s="2" t="s">
        <v>101</v>
      </c>
      <c r="H62" s="2" t="n">
        <v>60</v>
      </c>
      <c r="I62" s="2" t="str">
        <f aca="true">IF(AND(G62&lt;&gt;"Done",E62&lt;TODAY()),"Overdue","")</f>
        <v>Overdue</v>
      </c>
    </row>
    <row r="63" customFormat="false" ht="15" hidden="false" customHeight="false" outlineLevel="0" collapsed="false">
      <c r="A63" s="2" t="n">
        <v>62</v>
      </c>
      <c r="B63" s="2" t="n">
        <v>4</v>
      </c>
      <c r="C63" s="2" t="s">
        <v>173</v>
      </c>
      <c r="D63" s="2" t="s">
        <v>107</v>
      </c>
      <c r="E63" s="8" t="n">
        <v>46161</v>
      </c>
      <c r="F63" s="8"/>
      <c r="G63" s="2" t="s">
        <v>48</v>
      </c>
      <c r="H63" s="2" t="n">
        <v>16</v>
      </c>
      <c r="I63" s="2" t="str">
        <f aca="true">IF(AND(G63&lt;&gt;"Done",E63&lt;TODAY()),"Overdue","")</f>
        <v/>
      </c>
    </row>
    <row r="64" customFormat="false" ht="15" hidden="false" customHeight="false" outlineLevel="0" collapsed="false">
      <c r="A64" s="2" t="n">
        <v>63</v>
      </c>
      <c r="B64" s="2" t="n">
        <v>4</v>
      </c>
      <c r="C64" s="2" t="s">
        <v>174</v>
      </c>
      <c r="D64" s="2" t="s">
        <v>175</v>
      </c>
      <c r="E64" s="8" t="n">
        <v>46166</v>
      </c>
      <c r="F64" s="8"/>
      <c r="G64" s="2" t="s">
        <v>48</v>
      </c>
      <c r="H64" s="2" t="n">
        <v>80</v>
      </c>
      <c r="I64" s="2" t="str">
        <f aca="true">IF(AND(G64&lt;&gt;"Done",E64&lt;TODAY()),"Overdue","")</f>
        <v/>
      </c>
    </row>
    <row r="65" customFormat="false" ht="15" hidden="false" customHeight="false" outlineLevel="0" collapsed="false">
      <c r="A65" s="2" t="n">
        <v>64</v>
      </c>
      <c r="B65" s="2" t="n">
        <v>4</v>
      </c>
      <c r="C65" s="2" t="s">
        <v>120</v>
      </c>
      <c r="D65" s="2" t="s">
        <v>100</v>
      </c>
      <c r="E65" s="8" t="n">
        <v>45959</v>
      </c>
      <c r="F65" s="8"/>
      <c r="G65" s="2" t="s">
        <v>88</v>
      </c>
      <c r="H65" s="2" t="n">
        <v>4</v>
      </c>
      <c r="I65" s="2" t="str">
        <f aca="true">IF(AND(G65&lt;&gt;"Done",E65&lt;TODAY()),"Overdue","")</f>
        <v>Overdue</v>
      </c>
    </row>
    <row r="66" customFormat="false" ht="15" hidden="false" customHeight="false" outlineLevel="0" collapsed="false">
      <c r="A66" s="2" t="n">
        <v>65</v>
      </c>
      <c r="B66" s="2" t="n">
        <v>4</v>
      </c>
      <c r="C66" s="2" t="s">
        <v>176</v>
      </c>
      <c r="D66" s="2" t="s">
        <v>111</v>
      </c>
      <c r="E66" s="8" t="n">
        <v>46078</v>
      </c>
      <c r="F66" s="8"/>
      <c r="G66" s="2" t="s">
        <v>48</v>
      </c>
      <c r="H66" s="2" t="n">
        <v>80</v>
      </c>
      <c r="I66" s="2" t="str">
        <f aca="true">IF(AND(G66&lt;&gt;"Done",E66&lt;TODAY()),"Overdue","")</f>
        <v>Overdue</v>
      </c>
    </row>
    <row r="67" customFormat="false" ht="15" hidden="false" customHeight="false" outlineLevel="0" collapsed="false">
      <c r="A67" s="2" t="n">
        <v>66</v>
      </c>
      <c r="B67" s="2" t="n">
        <v>4</v>
      </c>
      <c r="C67" s="2" t="s">
        <v>177</v>
      </c>
      <c r="D67" s="2" t="s">
        <v>116</v>
      </c>
      <c r="E67" s="8" t="n">
        <v>46074</v>
      </c>
      <c r="F67" s="8"/>
      <c r="G67" s="2" t="s">
        <v>88</v>
      </c>
      <c r="H67" s="2" t="n">
        <v>60</v>
      </c>
      <c r="I67" s="2" t="str">
        <f aca="true">IF(AND(G67&lt;&gt;"Done",E67&lt;TODAY()),"Overdue","")</f>
        <v>Overdue</v>
      </c>
    </row>
    <row r="68" customFormat="false" ht="15" hidden="false" customHeight="false" outlineLevel="0" collapsed="false">
      <c r="A68" s="2" t="n">
        <v>67</v>
      </c>
      <c r="B68" s="2" t="n">
        <v>4</v>
      </c>
      <c r="C68" s="2" t="s">
        <v>178</v>
      </c>
      <c r="D68" s="2" t="s">
        <v>165</v>
      </c>
      <c r="E68" s="8" t="n">
        <v>45988</v>
      </c>
      <c r="F68" s="8"/>
      <c r="G68" s="2" t="s">
        <v>88</v>
      </c>
      <c r="H68" s="2" t="n">
        <v>16</v>
      </c>
      <c r="I68" s="2" t="str">
        <f aca="true">IF(AND(G68&lt;&gt;"Done",E68&lt;TODAY()),"Overdue","")</f>
        <v>Overdue</v>
      </c>
    </row>
    <row r="69" customFormat="false" ht="15" hidden="false" customHeight="false" outlineLevel="0" collapsed="false">
      <c r="A69" s="2" t="n">
        <v>68</v>
      </c>
      <c r="B69" s="2" t="n">
        <v>4</v>
      </c>
      <c r="C69" s="2" t="s">
        <v>179</v>
      </c>
      <c r="D69" s="2" t="s">
        <v>116</v>
      </c>
      <c r="E69" s="8" t="n">
        <v>46106</v>
      </c>
      <c r="F69" s="8" t="n">
        <v>46116</v>
      </c>
      <c r="G69" s="2" t="s">
        <v>114</v>
      </c>
      <c r="H69" s="2" t="n">
        <v>24</v>
      </c>
      <c r="I69" s="2" t="str">
        <f aca="true">IF(AND(G69&lt;&gt;"Done",E69&lt;TODAY()),"Overdue","")</f>
        <v/>
      </c>
    </row>
    <row r="70" customFormat="false" ht="15" hidden="false" customHeight="false" outlineLevel="0" collapsed="false">
      <c r="A70" s="2" t="n">
        <v>69</v>
      </c>
      <c r="B70" s="2" t="n">
        <v>4</v>
      </c>
      <c r="C70" s="2" t="s">
        <v>180</v>
      </c>
      <c r="D70" s="2" t="s">
        <v>109</v>
      </c>
      <c r="E70" s="8" t="n">
        <v>46160</v>
      </c>
      <c r="F70" s="8"/>
      <c r="G70" s="2" t="s">
        <v>48</v>
      </c>
      <c r="H70" s="2" t="n">
        <v>80</v>
      </c>
      <c r="I70" s="2" t="str">
        <f aca="true">IF(AND(G70&lt;&gt;"Done",E70&lt;TODAY()),"Overdue","")</f>
        <v/>
      </c>
    </row>
    <row r="71" customFormat="false" ht="15" hidden="false" customHeight="false" outlineLevel="0" collapsed="false">
      <c r="A71" s="2" t="n">
        <v>70</v>
      </c>
      <c r="B71" s="2" t="n">
        <v>4</v>
      </c>
      <c r="C71" s="2" t="s">
        <v>181</v>
      </c>
      <c r="D71" s="2" t="s">
        <v>148</v>
      </c>
      <c r="E71" s="8" t="n">
        <v>45971</v>
      </c>
      <c r="F71" s="8"/>
      <c r="G71" s="2" t="s">
        <v>88</v>
      </c>
      <c r="H71" s="2" t="n">
        <v>24</v>
      </c>
      <c r="I71" s="2" t="str">
        <f aca="true">IF(AND(G71&lt;&gt;"Done",E71&lt;TODAY()),"Overdue","")</f>
        <v>Overdue</v>
      </c>
    </row>
    <row r="72" customFormat="false" ht="15" hidden="false" customHeight="false" outlineLevel="0" collapsed="false">
      <c r="A72" s="2" t="n">
        <v>71</v>
      </c>
      <c r="B72" s="2" t="n">
        <v>4</v>
      </c>
      <c r="C72" s="2" t="s">
        <v>122</v>
      </c>
      <c r="D72" s="2" t="s">
        <v>47</v>
      </c>
      <c r="E72" s="8" t="n">
        <v>46094</v>
      </c>
      <c r="F72" s="8"/>
      <c r="G72" s="2" t="s">
        <v>48</v>
      </c>
      <c r="H72" s="2" t="n">
        <v>24</v>
      </c>
      <c r="I72" s="2" t="str">
        <f aca="true">IF(AND(G72&lt;&gt;"Done",E72&lt;TODAY()),"Overdue","")</f>
        <v>Overdue</v>
      </c>
    </row>
    <row r="73" customFormat="false" ht="15" hidden="false" customHeight="false" outlineLevel="0" collapsed="false">
      <c r="A73" s="2" t="n">
        <v>72</v>
      </c>
      <c r="B73" s="2" t="n">
        <v>4</v>
      </c>
      <c r="C73" s="2" t="s">
        <v>181</v>
      </c>
      <c r="D73" s="2" t="s">
        <v>105</v>
      </c>
      <c r="E73" s="8" t="n">
        <v>46166</v>
      </c>
      <c r="F73" s="8"/>
      <c r="G73" s="2" t="s">
        <v>88</v>
      </c>
      <c r="H73" s="2" t="n">
        <v>80</v>
      </c>
      <c r="I73" s="2" t="str">
        <f aca="true">IF(AND(G73&lt;&gt;"Done",E73&lt;TODAY()),"Overdue","")</f>
        <v/>
      </c>
    </row>
    <row r="74" customFormat="false" ht="15" hidden="false" customHeight="false" outlineLevel="0" collapsed="false">
      <c r="A74" s="2" t="n">
        <v>73</v>
      </c>
      <c r="B74" s="2" t="n">
        <v>4</v>
      </c>
      <c r="C74" s="2" t="s">
        <v>182</v>
      </c>
      <c r="D74" s="2" t="s">
        <v>113</v>
      </c>
      <c r="E74" s="8" t="n">
        <v>46015</v>
      </c>
      <c r="F74" s="8"/>
      <c r="G74" s="2" t="s">
        <v>88</v>
      </c>
      <c r="H74" s="2" t="n">
        <v>16</v>
      </c>
      <c r="I74" s="2" t="str">
        <f aca="true">IF(AND(G74&lt;&gt;"Done",E74&lt;TODAY()),"Overdue","")</f>
        <v>Overdue</v>
      </c>
    </row>
    <row r="75" customFormat="false" ht="15" hidden="false" customHeight="false" outlineLevel="0" collapsed="false">
      <c r="A75" s="2" t="n">
        <v>74</v>
      </c>
      <c r="B75" s="2" t="n">
        <v>4</v>
      </c>
      <c r="C75" s="2" t="s">
        <v>172</v>
      </c>
      <c r="D75" s="2" t="s">
        <v>109</v>
      </c>
      <c r="E75" s="8" t="n">
        <v>46091</v>
      </c>
      <c r="F75" s="8"/>
      <c r="G75" s="2" t="s">
        <v>88</v>
      </c>
      <c r="H75" s="2" t="n">
        <v>60</v>
      </c>
      <c r="I75" s="2" t="str">
        <f aca="true">IF(AND(G75&lt;&gt;"Done",E75&lt;TODAY()),"Overdue","")</f>
        <v>Overdue</v>
      </c>
    </row>
    <row r="76" customFormat="false" ht="15" hidden="false" customHeight="false" outlineLevel="0" collapsed="false">
      <c r="A76" s="2" t="n">
        <v>75</v>
      </c>
      <c r="B76" s="2" t="n">
        <v>4</v>
      </c>
      <c r="C76" s="2" t="s">
        <v>137</v>
      </c>
      <c r="D76" s="2" t="s">
        <v>113</v>
      </c>
      <c r="E76" s="8" t="n">
        <v>46053</v>
      </c>
      <c r="F76" s="8"/>
      <c r="G76" s="2" t="s">
        <v>88</v>
      </c>
      <c r="H76" s="2" t="n">
        <v>24</v>
      </c>
      <c r="I76" s="2" t="str">
        <f aca="true">IF(AND(G76&lt;&gt;"Done",E76&lt;TODAY()),"Overdue","")</f>
        <v>Overdue</v>
      </c>
    </row>
    <row r="77" customFormat="false" ht="15" hidden="false" customHeight="false" outlineLevel="0" collapsed="false">
      <c r="A77" s="2" t="n">
        <v>76</v>
      </c>
      <c r="B77" s="2" t="n">
        <v>4</v>
      </c>
      <c r="C77" s="2" t="s">
        <v>183</v>
      </c>
      <c r="D77" s="2" t="s">
        <v>47</v>
      </c>
      <c r="E77" s="8" t="n">
        <v>46114</v>
      </c>
      <c r="F77" s="8"/>
      <c r="G77" s="2" t="s">
        <v>48</v>
      </c>
      <c r="H77" s="2" t="n">
        <v>4</v>
      </c>
      <c r="I77" s="2" t="str">
        <f aca="true">IF(AND(G77&lt;&gt;"Done",E77&lt;TODAY()),"Overdue","")</f>
        <v>Overdue</v>
      </c>
    </row>
    <row r="78" customFormat="false" ht="15" hidden="false" customHeight="false" outlineLevel="0" collapsed="false">
      <c r="A78" s="2" t="n">
        <v>77</v>
      </c>
      <c r="B78" s="2" t="n">
        <v>4</v>
      </c>
      <c r="C78" s="2" t="s">
        <v>184</v>
      </c>
      <c r="D78" s="2" t="s">
        <v>103</v>
      </c>
      <c r="E78" s="8" t="n">
        <v>46024</v>
      </c>
      <c r="F78" s="8"/>
      <c r="G78" s="2" t="s">
        <v>88</v>
      </c>
      <c r="H78" s="2" t="n">
        <v>60</v>
      </c>
      <c r="I78" s="2" t="str">
        <f aca="true">IF(AND(G78&lt;&gt;"Done",E78&lt;TODAY()),"Overdue","")</f>
        <v>Overdue</v>
      </c>
    </row>
    <row r="79" customFormat="false" ht="15" hidden="false" customHeight="false" outlineLevel="0" collapsed="false">
      <c r="A79" s="2" t="n">
        <v>78</v>
      </c>
      <c r="B79" s="2" t="n">
        <v>4</v>
      </c>
      <c r="C79" s="2" t="s">
        <v>185</v>
      </c>
      <c r="D79" s="2" t="s">
        <v>105</v>
      </c>
      <c r="E79" s="8" t="n">
        <v>46097</v>
      </c>
      <c r="F79" s="8"/>
      <c r="G79" s="2" t="s">
        <v>88</v>
      </c>
      <c r="H79" s="2" t="n">
        <v>24</v>
      </c>
      <c r="I79" s="2" t="str">
        <f aca="true">IF(AND(G79&lt;&gt;"Done",E79&lt;TODAY()),"Overdue","")</f>
        <v>Overdue</v>
      </c>
    </row>
    <row r="80" customFormat="false" ht="15" hidden="false" customHeight="false" outlineLevel="0" collapsed="false">
      <c r="A80" s="2" t="n">
        <v>79</v>
      </c>
      <c r="B80" s="2" t="n">
        <v>4</v>
      </c>
      <c r="C80" s="2" t="s">
        <v>186</v>
      </c>
      <c r="D80" s="2" t="s">
        <v>116</v>
      </c>
      <c r="E80" s="8" t="n">
        <v>46139</v>
      </c>
      <c r="F80" s="8"/>
      <c r="G80" s="2" t="s">
        <v>48</v>
      </c>
      <c r="H80" s="2" t="n">
        <v>16</v>
      </c>
      <c r="I80" s="2" t="str">
        <f aca="true">IF(AND(G80&lt;&gt;"Done",E80&lt;TODAY()),"Overdue","")</f>
        <v>Overdue</v>
      </c>
    </row>
    <row r="81" customFormat="false" ht="15" hidden="false" customHeight="false" outlineLevel="0" collapsed="false">
      <c r="A81" s="2" t="n">
        <v>80</v>
      </c>
      <c r="B81" s="2" t="n">
        <v>4</v>
      </c>
      <c r="C81" s="2" t="s">
        <v>173</v>
      </c>
      <c r="D81" s="2" t="s">
        <v>131</v>
      </c>
      <c r="E81" s="8" t="n">
        <v>46027</v>
      </c>
      <c r="F81" s="8"/>
      <c r="G81" s="2" t="s">
        <v>88</v>
      </c>
      <c r="H81" s="2" t="n">
        <v>16</v>
      </c>
      <c r="I81" s="2" t="str">
        <f aca="true">IF(AND(G81&lt;&gt;"Done",E81&lt;TODAY()),"Overdue","")</f>
        <v>Overdue</v>
      </c>
    </row>
    <row r="82" customFormat="false" ht="15" hidden="false" customHeight="false" outlineLevel="0" collapsed="false">
      <c r="A82" s="2" t="n">
        <v>81</v>
      </c>
      <c r="B82" s="2" t="n">
        <v>4</v>
      </c>
      <c r="C82" s="2" t="s">
        <v>187</v>
      </c>
      <c r="D82" s="2" t="s">
        <v>188</v>
      </c>
      <c r="E82" s="8" t="n">
        <v>45979</v>
      </c>
      <c r="F82" s="8"/>
      <c r="G82" s="2" t="s">
        <v>48</v>
      </c>
      <c r="H82" s="2" t="n">
        <v>8</v>
      </c>
      <c r="I82" s="2" t="str">
        <f aca="true">IF(AND(G82&lt;&gt;"Done",E82&lt;TODAY()),"Overdue","")</f>
        <v>Overdue</v>
      </c>
    </row>
    <row r="83" customFormat="false" ht="15" hidden="false" customHeight="false" outlineLevel="0" collapsed="false">
      <c r="A83" s="2" t="n">
        <v>82</v>
      </c>
      <c r="B83" s="2" t="n">
        <v>4</v>
      </c>
      <c r="C83" s="2" t="s">
        <v>189</v>
      </c>
      <c r="D83" s="2" t="s">
        <v>121</v>
      </c>
      <c r="E83" s="8" t="n">
        <v>46004</v>
      </c>
      <c r="F83" s="8"/>
      <c r="G83" s="2" t="s">
        <v>48</v>
      </c>
      <c r="H83" s="2" t="n">
        <v>80</v>
      </c>
      <c r="I83" s="2" t="str">
        <f aca="true">IF(AND(G83&lt;&gt;"Done",E83&lt;TODAY()),"Overdue","")</f>
        <v>Overdue</v>
      </c>
    </row>
    <row r="84" customFormat="false" ht="15" hidden="false" customHeight="false" outlineLevel="0" collapsed="false">
      <c r="A84" s="2" t="n">
        <v>83</v>
      </c>
      <c r="B84" s="2" t="n">
        <v>4</v>
      </c>
      <c r="C84" s="2" t="s">
        <v>190</v>
      </c>
      <c r="D84" s="2" t="s">
        <v>131</v>
      </c>
      <c r="E84" s="8" t="n">
        <v>46083</v>
      </c>
      <c r="F84" s="8"/>
      <c r="G84" s="2" t="s">
        <v>48</v>
      </c>
      <c r="H84" s="2" t="n">
        <v>16</v>
      </c>
      <c r="I84" s="2" t="str">
        <f aca="true">IF(AND(G84&lt;&gt;"Done",E84&lt;TODAY()),"Overdue","")</f>
        <v>Overdue</v>
      </c>
    </row>
    <row r="85" customFormat="false" ht="15" hidden="false" customHeight="false" outlineLevel="0" collapsed="false">
      <c r="A85" s="2" t="n">
        <v>84</v>
      </c>
      <c r="B85" s="2" t="n">
        <v>4</v>
      </c>
      <c r="C85" s="2" t="s">
        <v>94</v>
      </c>
      <c r="D85" s="2" t="s">
        <v>51</v>
      </c>
      <c r="E85" s="8" t="n">
        <v>46007</v>
      </c>
      <c r="F85" s="8"/>
      <c r="G85" s="2" t="s">
        <v>88</v>
      </c>
      <c r="H85" s="2" t="n">
        <v>40</v>
      </c>
      <c r="I85" s="2" t="str">
        <f aca="true">IF(AND(G85&lt;&gt;"Done",E85&lt;TODAY()),"Overdue","")</f>
        <v>Overdue</v>
      </c>
    </row>
    <row r="86" customFormat="false" ht="15" hidden="false" customHeight="false" outlineLevel="0" collapsed="false">
      <c r="A86" s="2" t="n">
        <v>85</v>
      </c>
      <c r="B86" s="2" t="n">
        <v>4</v>
      </c>
      <c r="C86" s="2" t="s">
        <v>191</v>
      </c>
      <c r="D86" s="2" t="s">
        <v>90</v>
      </c>
      <c r="E86" s="8" t="n">
        <v>45981</v>
      </c>
      <c r="F86" s="8"/>
      <c r="G86" s="2" t="s">
        <v>88</v>
      </c>
      <c r="H86" s="2" t="n">
        <v>60</v>
      </c>
      <c r="I86" s="2" t="str">
        <f aca="true">IF(AND(G86&lt;&gt;"Done",E86&lt;TODAY()),"Overdue","")</f>
        <v>Overdue</v>
      </c>
    </row>
    <row r="87" customFormat="false" ht="15" hidden="false" customHeight="false" outlineLevel="0" collapsed="false">
      <c r="A87" s="2" t="n">
        <v>86</v>
      </c>
      <c r="B87" s="2" t="n">
        <v>4</v>
      </c>
      <c r="C87" s="2" t="s">
        <v>179</v>
      </c>
      <c r="D87" s="2" t="s">
        <v>192</v>
      </c>
      <c r="E87" s="8" t="n">
        <v>45981</v>
      </c>
      <c r="F87" s="8"/>
      <c r="G87" s="2" t="s">
        <v>48</v>
      </c>
      <c r="H87" s="2" t="n">
        <v>80</v>
      </c>
      <c r="I87" s="2" t="str">
        <f aca="true">IF(AND(G87&lt;&gt;"Done",E87&lt;TODAY()),"Overdue","")</f>
        <v>Overdue</v>
      </c>
    </row>
    <row r="88" customFormat="false" ht="15" hidden="false" customHeight="false" outlineLevel="0" collapsed="false">
      <c r="A88" s="2" t="n">
        <v>87</v>
      </c>
      <c r="B88" s="2" t="n">
        <v>4</v>
      </c>
      <c r="C88" s="2" t="s">
        <v>193</v>
      </c>
      <c r="D88" s="2" t="s">
        <v>194</v>
      </c>
      <c r="E88" s="8" t="n">
        <v>45952</v>
      </c>
      <c r="F88" s="8"/>
      <c r="G88" s="2" t="s">
        <v>48</v>
      </c>
      <c r="H88" s="2" t="n">
        <v>16</v>
      </c>
      <c r="I88" s="2" t="str">
        <f aca="true">IF(AND(G88&lt;&gt;"Done",E88&lt;TODAY()),"Overdue","")</f>
        <v>Overdue</v>
      </c>
    </row>
    <row r="89" customFormat="false" ht="15" hidden="false" customHeight="false" outlineLevel="0" collapsed="false">
      <c r="A89" s="2" t="n">
        <v>88</v>
      </c>
      <c r="B89" s="2" t="n">
        <v>5</v>
      </c>
      <c r="C89" s="2" t="s">
        <v>195</v>
      </c>
      <c r="D89" s="2" t="s">
        <v>99</v>
      </c>
      <c r="E89" s="8" t="n">
        <v>45823</v>
      </c>
      <c r="F89" s="8"/>
      <c r="G89" s="2" t="s">
        <v>48</v>
      </c>
      <c r="H89" s="2" t="n">
        <v>80</v>
      </c>
      <c r="I89" s="2" t="str">
        <f aca="true">IF(AND(G89&lt;&gt;"Done",E89&lt;TODAY()),"Overdue","")</f>
        <v>Overdue</v>
      </c>
    </row>
    <row r="90" customFormat="false" ht="15" hidden="false" customHeight="false" outlineLevel="0" collapsed="false">
      <c r="A90" s="2" t="n">
        <v>89</v>
      </c>
      <c r="B90" s="2" t="n">
        <v>5</v>
      </c>
      <c r="C90" s="2" t="s">
        <v>171</v>
      </c>
      <c r="D90" s="2" t="s">
        <v>92</v>
      </c>
      <c r="E90" s="8" t="n">
        <v>45826</v>
      </c>
      <c r="F90" s="8"/>
      <c r="G90" s="2" t="s">
        <v>48</v>
      </c>
      <c r="H90" s="2" t="n">
        <v>60</v>
      </c>
      <c r="I90" s="2" t="str">
        <f aca="true">IF(AND(G90&lt;&gt;"Done",E90&lt;TODAY()),"Overdue","")</f>
        <v>Overdue</v>
      </c>
    </row>
    <row r="91" customFormat="false" ht="15" hidden="false" customHeight="false" outlineLevel="0" collapsed="false">
      <c r="A91" s="2" t="n">
        <v>90</v>
      </c>
      <c r="B91" s="2" t="n">
        <v>5</v>
      </c>
      <c r="C91" s="2" t="s">
        <v>196</v>
      </c>
      <c r="D91" s="2" t="s">
        <v>103</v>
      </c>
      <c r="E91" s="8" t="n">
        <v>45823</v>
      </c>
      <c r="F91" s="8"/>
      <c r="G91" s="2" t="s">
        <v>88</v>
      </c>
      <c r="H91" s="2" t="n">
        <v>4</v>
      </c>
      <c r="I91" s="2" t="str">
        <f aca="true">IF(AND(G91&lt;&gt;"Done",E91&lt;TODAY()),"Overdue","")</f>
        <v>Overdue</v>
      </c>
    </row>
    <row r="92" customFormat="false" ht="15" hidden="false" customHeight="false" outlineLevel="0" collapsed="false">
      <c r="A92" s="2" t="n">
        <v>91</v>
      </c>
      <c r="B92" s="2" t="n">
        <v>5</v>
      </c>
      <c r="C92" s="2" t="s">
        <v>197</v>
      </c>
      <c r="D92" s="2" t="s">
        <v>198</v>
      </c>
      <c r="E92" s="8" t="n">
        <v>45873</v>
      </c>
      <c r="F92" s="8"/>
      <c r="G92" s="2" t="s">
        <v>88</v>
      </c>
      <c r="H92" s="2" t="n">
        <v>40</v>
      </c>
      <c r="I92" s="2" t="str">
        <f aca="true">IF(AND(G92&lt;&gt;"Done",E92&lt;TODAY()),"Overdue","")</f>
        <v>Overdue</v>
      </c>
    </row>
    <row r="93" customFormat="false" ht="15" hidden="false" customHeight="false" outlineLevel="0" collapsed="false">
      <c r="A93" s="2" t="n">
        <v>92</v>
      </c>
      <c r="B93" s="2" t="n">
        <v>5</v>
      </c>
      <c r="C93" s="2" t="s">
        <v>199</v>
      </c>
      <c r="D93" s="2" t="s">
        <v>194</v>
      </c>
      <c r="E93" s="8" t="n">
        <v>45867</v>
      </c>
      <c r="F93" s="8" t="n">
        <v>45872</v>
      </c>
      <c r="G93" s="2" t="s">
        <v>114</v>
      </c>
      <c r="H93" s="2" t="n">
        <v>16</v>
      </c>
      <c r="I93" s="2" t="str">
        <f aca="true">IF(AND(G93&lt;&gt;"Done",E93&lt;TODAY()),"Overdue","")</f>
        <v/>
      </c>
    </row>
    <row r="94" customFormat="false" ht="15" hidden="false" customHeight="false" outlineLevel="0" collapsed="false">
      <c r="A94" s="2" t="n">
        <v>93</v>
      </c>
      <c r="B94" s="2" t="n">
        <v>5</v>
      </c>
      <c r="C94" s="2" t="s">
        <v>200</v>
      </c>
      <c r="D94" s="2" t="s">
        <v>201</v>
      </c>
      <c r="E94" s="8" t="n">
        <v>45919</v>
      </c>
      <c r="F94" s="8"/>
      <c r="G94" s="2" t="s">
        <v>48</v>
      </c>
      <c r="H94" s="2" t="n">
        <v>60</v>
      </c>
      <c r="I94" s="2" t="str">
        <f aca="true">IF(AND(G94&lt;&gt;"Done",E94&lt;TODAY()),"Overdue","")</f>
        <v>Overdue</v>
      </c>
    </row>
    <row r="95" customFormat="false" ht="15" hidden="false" customHeight="false" outlineLevel="0" collapsed="false">
      <c r="A95" s="2" t="n">
        <v>94</v>
      </c>
      <c r="B95" s="2" t="n">
        <v>5</v>
      </c>
      <c r="C95" s="2" t="s">
        <v>134</v>
      </c>
      <c r="D95" s="2" t="s">
        <v>87</v>
      </c>
      <c r="E95" s="8" t="n">
        <v>45835</v>
      </c>
      <c r="F95" s="8" t="n">
        <v>45834</v>
      </c>
      <c r="G95" s="2" t="s">
        <v>114</v>
      </c>
      <c r="H95" s="2" t="n">
        <v>60</v>
      </c>
      <c r="I95" s="2" t="str">
        <f aca="true">IF(AND(G95&lt;&gt;"Done",E95&lt;TODAY()),"Overdue","")</f>
        <v/>
      </c>
    </row>
    <row r="96" customFormat="false" ht="15" hidden="false" customHeight="false" outlineLevel="0" collapsed="false">
      <c r="A96" s="2" t="n">
        <v>95</v>
      </c>
      <c r="B96" s="2" t="n">
        <v>5</v>
      </c>
      <c r="C96" s="2" t="s">
        <v>202</v>
      </c>
      <c r="D96" s="2" t="s">
        <v>57</v>
      </c>
      <c r="E96" s="8" t="n">
        <v>45830</v>
      </c>
      <c r="F96" s="8"/>
      <c r="G96" s="2" t="s">
        <v>88</v>
      </c>
      <c r="H96" s="2" t="n">
        <v>8</v>
      </c>
      <c r="I96" s="2" t="str">
        <f aca="true">IF(AND(G96&lt;&gt;"Done",E96&lt;TODAY()),"Overdue","")</f>
        <v>Overdue</v>
      </c>
    </row>
    <row r="97" customFormat="false" ht="15" hidden="false" customHeight="false" outlineLevel="0" collapsed="false">
      <c r="A97" s="2" t="n">
        <v>96</v>
      </c>
      <c r="B97" s="2" t="n">
        <v>5</v>
      </c>
      <c r="C97" s="2" t="s">
        <v>203</v>
      </c>
      <c r="D97" s="2" t="s">
        <v>204</v>
      </c>
      <c r="E97" s="8" t="n">
        <v>45810</v>
      </c>
      <c r="F97" s="8"/>
      <c r="G97" s="2" t="s">
        <v>48</v>
      </c>
      <c r="H97" s="2" t="n">
        <v>16</v>
      </c>
      <c r="I97" s="2" t="str">
        <f aca="true">IF(AND(G97&lt;&gt;"Done",E97&lt;TODAY()),"Overdue","")</f>
        <v>Overdue</v>
      </c>
    </row>
    <row r="98" customFormat="false" ht="15" hidden="false" customHeight="false" outlineLevel="0" collapsed="false">
      <c r="A98" s="2" t="n">
        <v>97</v>
      </c>
      <c r="B98" s="2" t="n">
        <v>5</v>
      </c>
      <c r="C98" s="2" t="s">
        <v>205</v>
      </c>
      <c r="D98" s="2" t="s">
        <v>113</v>
      </c>
      <c r="E98" s="8" t="n">
        <v>45818</v>
      </c>
      <c r="F98" s="8"/>
      <c r="G98" s="2" t="s">
        <v>88</v>
      </c>
      <c r="H98" s="2" t="n">
        <v>80</v>
      </c>
      <c r="I98" s="2" t="str">
        <f aca="true">IF(AND(G98&lt;&gt;"Done",E98&lt;TODAY()),"Overdue","")</f>
        <v>Overdue</v>
      </c>
    </row>
    <row r="99" customFormat="false" ht="15" hidden="false" customHeight="false" outlineLevel="0" collapsed="false">
      <c r="A99" s="2" t="n">
        <v>98</v>
      </c>
      <c r="B99" s="2" t="n">
        <v>5</v>
      </c>
      <c r="C99" s="2" t="s">
        <v>142</v>
      </c>
      <c r="D99" s="2" t="s">
        <v>87</v>
      </c>
      <c r="E99" s="8" t="n">
        <v>45926</v>
      </c>
      <c r="F99" s="8"/>
      <c r="G99" s="2" t="s">
        <v>88</v>
      </c>
      <c r="H99" s="2" t="n">
        <v>80</v>
      </c>
      <c r="I99" s="2" t="str">
        <f aca="true">IF(AND(G99&lt;&gt;"Done",E99&lt;TODAY()),"Overdue","")</f>
        <v>Overdue</v>
      </c>
    </row>
    <row r="100" customFormat="false" ht="15" hidden="false" customHeight="false" outlineLevel="0" collapsed="false">
      <c r="A100" s="2" t="n">
        <v>99</v>
      </c>
      <c r="B100" s="2" t="n">
        <v>5</v>
      </c>
      <c r="C100" s="2" t="s">
        <v>206</v>
      </c>
      <c r="D100" s="2" t="s">
        <v>165</v>
      </c>
      <c r="E100" s="8" t="n">
        <v>45860</v>
      </c>
      <c r="F100" s="8"/>
      <c r="G100" s="2" t="s">
        <v>48</v>
      </c>
      <c r="H100" s="2" t="n">
        <v>8</v>
      </c>
      <c r="I100" s="2" t="str">
        <f aca="true">IF(AND(G100&lt;&gt;"Done",E100&lt;TODAY()),"Overdue","")</f>
        <v>Overdue</v>
      </c>
    </row>
    <row r="101" customFormat="false" ht="15" hidden="false" customHeight="false" outlineLevel="0" collapsed="false">
      <c r="A101" s="2" t="n">
        <v>100</v>
      </c>
      <c r="B101" s="2" t="n">
        <v>5</v>
      </c>
      <c r="C101" s="2" t="s">
        <v>207</v>
      </c>
      <c r="D101" s="2" t="s">
        <v>103</v>
      </c>
      <c r="E101" s="8" t="n">
        <v>45878</v>
      </c>
      <c r="F101" s="8" t="n">
        <v>45873</v>
      </c>
      <c r="G101" s="2" t="s">
        <v>114</v>
      </c>
      <c r="H101" s="2" t="n">
        <v>40</v>
      </c>
      <c r="I101" s="2" t="str">
        <f aca="true">IF(AND(G101&lt;&gt;"Done",E101&lt;TODAY()),"Overdue","")</f>
        <v/>
      </c>
    </row>
    <row r="102" customFormat="false" ht="15" hidden="false" customHeight="false" outlineLevel="0" collapsed="false">
      <c r="A102" s="2" t="n">
        <v>101</v>
      </c>
      <c r="B102" s="2" t="n">
        <v>5</v>
      </c>
      <c r="C102" s="2" t="s">
        <v>208</v>
      </c>
      <c r="D102" s="2" t="s">
        <v>103</v>
      </c>
      <c r="E102" s="8" t="n">
        <v>45883</v>
      </c>
      <c r="F102" s="8"/>
      <c r="G102" s="2" t="s">
        <v>48</v>
      </c>
      <c r="H102" s="2" t="n">
        <v>60</v>
      </c>
      <c r="I102" s="2" t="str">
        <f aca="true">IF(AND(G102&lt;&gt;"Done",E102&lt;TODAY()),"Overdue","")</f>
        <v>Overdue</v>
      </c>
    </row>
    <row r="103" customFormat="false" ht="15" hidden="false" customHeight="false" outlineLevel="0" collapsed="false">
      <c r="A103" s="2" t="n">
        <v>102</v>
      </c>
      <c r="B103" s="2" t="n">
        <v>5</v>
      </c>
      <c r="C103" s="2" t="s">
        <v>209</v>
      </c>
      <c r="D103" s="2" t="s">
        <v>194</v>
      </c>
      <c r="E103" s="8" t="n">
        <v>45913</v>
      </c>
      <c r="F103" s="8" t="n">
        <v>45922</v>
      </c>
      <c r="G103" s="2" t="s">
        <v>114</v>
      </c>
      <c r="H103" s="2" t="n">
        <v>4</v>
      </c>
      <c r="I103" s="2" t="str">
        <f aca="true">IF(AND(G103&lt;&gt;"Done",E103&lt;TODAY()),"Overdue","")</f>
        <v/>
      </c>
    </row>
    <row r="104" customFormat="false" ht="15" hidden="false" customHeight="false" outlineLevel="0" collapsed="false">
      <c r="A104" s="2" t="n">
        <v>103</v>
      </c>
      <c r="B104" s="2" t="n">
        <v>5</v>
      </c>
      <c r="C104" s="2" t="s">
        <v>210</v>
      </c>
      <c r="D104" s="2" t="s">
        <v>47</v>
      </c>
      <c r="E104" s="8" t="n">
        <v>45820</v>
      </c>
      <c r="F104" s="8" t="n">
        <v>45823</v>
      </c>
      <c r="G104" s="2" t="s">
        <v>114</v>
      </c>
      <c r="H104" s="2" t="n">
        <v>4</v>
      </c>
      <c r="I104" s="2" t="str">
        <f aca="true">IF(AND(G104&lt;&gt;"Done",E104&lt;TODAY()),"Overdue","")</f>
        <v/>
      </c>
    </row>
    <row r="105" customFormat="false" ht="15" hidden="false" customHeight="false" outlineLevel="0" collapsed="false">
      <c r="A105" s="2" t="n">
        <v>104</v>
      </c>
      <c r="B105" s="2" t="n">
        <v>5</v>
      </c>
      <c r="C105" s="2" t="s">
        <v>211</v>
      </c>
      <c r="D105" s="2" t="s">
        <v>175</v>
      </c>
      <c r="E105" s="8" t="n">
        <v>45868</v>
      </c>
      <c r="F105" s="8"/>
      <c r="G105" s="2" t="s">
        <v>101</v>
      </c>
      <c r="H105" s="2" t="n">
        <v>40</v>
      </c>
      <c r="I105" s="2" t="str">
        <f aca="true">IF(AND(G105&lt;&gt;"Done",E105&lt;TODAY()),"Overdue","")</f>
        <v>Overdue</v>
      </c>
    </row>
    <row r="106" customFormat="false" ht="15" hidden="false" customHeight="false" outlineLevel="0" collapsed="false">
      <c r="A106" s="2" t="n">
        <v>105</v>
      </c>
      <c r="B106" s="2" t="n">
        <v>5</v>
      </c>
      <c r="C106" s="2" t="s">
        <v>212</v>
      </c>
      <c r="D106" s="2" t="s">
        <v>151</v>
      </c>
      <c r="E106" s="8" t="n">
        <v>45815</v>
      </c>
      <c r="F106" s="8"/>
      <c r="G106" s="2" t="s">
        <v>101</v>
      </c>
      <c r="H106" s="2" t="n">
        <v>40</v>
      </c>
      <c r="I106" s="2" t="str">
        <f aca="true">IF(AND(G106&lt;&gt;"Done",E106&lt;TODAY()),"Overdue","")</f>
        <v>Overdue</v>
      </c>
    </row>
    <row r="107" customFormat="false" ht="15" hidden="false" customHeight="false" outlineLevel="0" collapsed="false">
      <c r="A107" s="2" t="n">
        <v>106</v>
      </c>
      <c r="B107" s="2" t="n">
        <v>5</v>
      </c>
      <c r="C107" s="2" t="s">
        <v>213</v>
      </c>
      <c r="D107" s="2" t="s">
        <v>165</v>
      </c>
      <c r="E107" s="8" t="n">
        <v>45820</v>
      </c>
      <c r="F107" s="8" t="n">
        <v>45818</v>
      </c>
      <c r="G107" s="2" t="s">
        <v>114</v>
      </c>
      <c r="H107" s="2" t="n">
        <v>24</v>
      </c>
      <c r="I107" s="2" t="str">
        <f aca="true">IF(AND(G107&lt;&gt;"Done",E107&lt;TODAY()),"Overdue","")</f>
        <v/>
      </c>
    </row>
    <row r="108" customFormat="false" ht="15" hidden="false" customHeight="false" outlineLevel="0" collapsed="false">
      <c r="A108" s="2" t="n">
        <v>107</v>
      </c>
      <c r="B108" s="2" t="n">
        <v>5</v>
      </c>
      <c r="C108" s="2" t="s">
        <v>214</v>
      </c>
      <c r="D108" s="2" t="s">
        <v>92</v>
      </c>
      <c r="E108" s="8" t="n">
        <v>45881</v>
      </c>
      <c r="F108" s="8"/>
      <c r="G108" s="2" t="s">
        <v>88</v>
      </c>
      <c r="H108" s="2" t="n">
        <v>80</v>
      </c>
      <c r="I108" s="2" t="str">
        <f aca="true">IF(AND(G108&lt;&gt;"Done",E108&lt;TODAY()),"Overdue","")</f>
        <v>Overdue</v>
      </c>
    </row>
    <row r="109" customFormat="false" ht="15" hidden="false" customHeight="false" outlineLevel="0" collapsed="false">
      <c r="A109" s="2" t="n">
        <v>108</v>
      </c>
      <c r="B109" s="2" t="n">
        <v>6</v>
      </c>
      <c r="C109" s="2" t="s">
        <v>215</v>
      </c>
      <c r="D109" s="2" t="s">
        <v>118</v>
      </c>
      <c r="E109" s="8" t="n">
        <v>45993</v>
      </c>
      <c r="F109" s="8" t="n">
        <v>45999</v>
      </c>
      <c r="G109" s="2" t="s">
        <v>114</v>
      </c>
      <c r="H109" s="2" t="n">
        <v>4</v>
      </c>
      <c r="I109" s="2" t="str">
        <f aca="true">IF(AND(G109&lt;&gt;"Done",E109&lt;TODAY()),"Overdue","")</f>
        <v/>
      </c>
    </row>
    <row r="110" customFormat="false" ht="15" hidden="false" customHeight="false" outlineLevel="0" collapsed="false">
      <c r="A110" s="2" t="n">
        <v>109</v>
      </c>
      <c r="B110" s="2" t="n">
        <v>6</v>
      </c>
      <c r="C110" s="2" t="s">
        <v>216</v>
      </c>
      <c r="D110" s="2" t="s">
        <v>162</v>
      </c>
      <c r="E110" s="8" t="n">
        <v>46011</v>
      </c>
      <c r="F110" s="8" t="n">
        <v>46019</v>
      </c>
      <c r="G110" s="2" t="s">
        <v>114</v>
      </c>
      <c r="H110" s="2" t="n">
        <v>80</v>
      </c>
      <c r="I110" s="2" t="str">
        <f aca="true">IF(AND(G110&lt;&gt;"Done",E110&lt;TODAY()),"Overdue","")</f>
        <v/>
      </c>
    </row>
    <row r="111" customFormat="false" ht="15" hidden="false" customHeight="false" outlineLevel="0" collapsed="false">
      <c r="A111" s="2" t="n">
        <v>110</v>
      </c>
      <c r="B111" s="2" t="n">
        <v>6</v>
      </c>
      <c r="C111" s="2" t="s">
        <v>106</v>
      </c>
      <c r="D111" s="2" t="s">
        <v>87</v>
      </c>
      <c r="E111" s="8" t="n">
        <v>46110</v>
      </c>
      <c r="F111" s="8"/>
      <c r="G111" s="2" t="s">
        <v>88</v>
      </c>
      <c r="H111" s="2" t="n">
        <v>16</v>
      </c>
      <c r="I111" s="2" t="str">
        <f aca="true">IF(AND(G111&lt;&gt;"Done",E111&lt;TODAY()),"Overdue","")</f>
        <v>Overdue</v>
      </c>
    </row>
    <row r="112" customFormat="false" ht="15" hidden="false" customHeight="false" outlineLevel="0" collapsed="false">
      <c r="A112" s="2" t="n">
        <v>111</v>
      </c>
      <c r="B112" s="2" t="n">
        <v>6</v>
      </c>
      <c r="C112" s="2" t="s">
        <v>145</v>
      </c>
      <c r="D112" s="2" t="s">
        <v>135</v>
      </c>
      <c r="E112" s="8" t="n">
        <v>45999</v>
      </c>
      <c r="F112" s="8"/>
      <c r="G112" s="2" t="s">
        <v>101</v>
      </c>
      <c r="H112" s="2" t="n">
        <v>80</v>
      </c>
      <c r="I112" s="2" t="str">
        <f aca="true">IF(AND(G112&lt;&gt;"Done",E112&lt;TODAY()),"Overdue","")</f>
        <v>Overdue</v>
      </c>
    </row>
    <row r="113" customFormat="false" ht="15" hidden="false" customHeight="false" outlineLevel="0" collapsed="false">
      <c r="A113" s="2" t="n">
        <v>112</v>
      </c>
      <c r="B113" s="2" t="n">
        <v>6</v>
      </c>
      <c r="C113" s="2" t="s">
        <v>217</v>
      </c>
      <c r="D113" s="2" t="s">
        <v>66</v>
      </c>
      <c r="E113" s="8" t="n">
        <v>45970</v>
      </c>
      <c r="F113" s="8" t="n">
        <v>45980</v>
      </c>
      <c r="G113" s="2" t="s">
        <v>114</v>
      </c>
      <c r="H113" s="2" t="n">
        <v>8</v>
      </c>
      <c r="I113" s="2" t="str">
        <f aca="true">IF(AND(G113&lt;&gt;"Done",E113&lt;TODAY()),"Overdue","")</f>
        <v/>
      </c>
    </row>
    <row r="114" customFormat="false" ht="15" hidden="false" customHeight="false" outlineLevel="0" collapsed="false">
      <c r="A114" s="2" t="n">
        <v>113</v>
      </c>
      <c r="B114" s="2" t="n">
        <v>6</v>
      </c>
      <c r="C114" s="2" t="s">
        <v>218</v>
      </c>
      <c r="D114" s="2" t="s">
        <v>148</v>
      </c>
      <c r="E114" s="8" t="n">
        <v>46102</v>
      </c>
      <c r="F114" s="8" t="n">
        <v>46110</v>
      </c>
      <c r="G114" s="2" t="s">
        <v>114</v>
      </c>
      <c r="H114" s="2" t="n">
        <v>4</v>
      </c>
      <c r="I114" s="2" t="str">
        <f aca="true">IF(AND(G114&lt;&gt;"Done",E114&lt;TODAY()),"Overdue","")</f>
        <v/>
      </c>
    </row>
    <row r="115" customFormat="false" ht="15" hidden="false" customHeight="false" outlineLevel="0" collapsed="false">
      <c r="A115" s="2" t="n">
        <v>114</v>
      </c>
      <c r="B115" s="2" t="n">
        <v>6</v>
      </c>
      <c r="C115" s="2" t="s">
        <v>219</v>
      </c>
      <c r="D115" s="2" t="s">
        <v>194</v>
      </c>
      <c r="E115" s="8" t="n">
        <v>46022</v>
      </c>
      <c r="F115" s="8" t="n">
        <v>46019</v>
      </c>
      <c r="G115" s="2" t="s">
        <v>114</v>
      </c>
      <c r="H115" s="2" t="n">
        <v>60</v>
      </c>
      <c r="I115" s="2" t="str">
        <f aca="true">IF(AND(G115&lt;&gt;"Done",E115&lt;TODAY()),"Overdue","")</f>
        <v/>
      </c>
    </row>
    <row r="116" customFormat="false" ht="15" hidden="false" customHeight="false" outlineLevel="0" collapsed="false">
      <c r="A116" s="2" t="n">
        <v>115</v>
      </c>
      <c r="B116" s="2" t="n">
        <v>6</v>
      </c>
      <c r="C116" s="2" t="s">
        <v>220</v>
      </c>
      <c r="D116" s="2" t="s">
        <v>109</v>
      </c>
      <c r="E116" s="8" t="n">
        <v>46094</v>
      </c>
      <c r="F116" s="8"/>
      <c r="G116" s="2" t="s">
        <v>88</v>
      </c>
      <c r="H116" s="2" t="n">
        <v>60</v>
      </c>
      <c r="I116" s="2" t="str">
        <f aca="true">IF(AND(G116&lt;&gt;"Done",E116&lt;TODAY()),"Overdue","")</f>
        <v>Overdue</v>
      </c>
    </row>
    <row r="117" customFormat="false" ht="15" hidden="false" customHeight="false" outlineLevel="0" collapsed="false">
      <c r="A117" s="2" t="n">
        <v>116</v>
      </c>
      <c r="B117" s="2" t="n">
        <v>6</v>
      </c>
      <c r="C117" s="2" t="s">
        <v>221</v>
      </c>
      <c r="D117" s="2" t="s">
        <v>41</v>
      </c>
      <c r="E117" s="8" t="n">
        <v>46010</v>
      </c>
      <c r="F117" s="8" t="n">
        <v>46003</v>
      </c>
      <c r="G117" s="2" t="s">
        <v>114</v>
      </c>
      <c r="H117" s="2" t="n">
        <v>8</v>
      </c>
      <c r="I117" s="2" t="str">
        <f aca="true">IF(AND(G117&lt;&gt;"Done",E117&lt;TODAY()),"Overdue","")</f>
        <v/>
      </c>
    </row>
    <row r="118" customFormat="false" ht="15" hidden="false" customHeight="false" outlineLevel="0" collapsed="false">
      <c r="A118" s="2" t="n">
        <v>117</v>
      </c>
      <c r="B118" s="2" t="n">
        <v>6</v>
      </c>
      <c r="C118" s="2" t="s">
        <v>212</v>
      </c>
      <c r="D118" s="2" t="s">
        <v>222</v>
      </c>
      <c r="E118" s="8" t="n">
        <v>45999</v>
      </c>
      <c r="F118" s="8" t="n">
        <v>45995</v>
      </c>
      <c r="G118" s="2" t="s">
        <v>114</v>
      </c>
      <c r="H118" s="2" t="n">
        <v>24</v>
      </c>
      <c r="I118" s="2" t="str">
        <f aca="true">IF(AND(G118&lt;&gt;"Done",E118&lt;TODAY()),"Overdue","")</f>
        <v/>
      </c>
    </row>
    <row r="119" customFormat="false" ht="15" hidden="false" customHeight="false" outlineLevel="0" collapsed="false">
      <c r="A119" s="2" t="n">
        <v>118</v>
      </c>
      <c r="B119" s="2" t="n">
        <v>6</v>
      </c>
      <c r="C119" s="2" t="s">
        <v>145</v>
      </c>
      <c r="D119" s="2" t="s">
        <v>204</v>
      </c>
      <c r="E119" s="8" t="n">
        <v>46044</v>
      </c>
      <c r="F119" s="8" t="n">
        <v>46045</v>
      </c>
      <c r="G119" s="2" t="s">
        <v>114</v>
      </c>
      <c r="H119" s="2" t="n">
        <v>24</v>
      </c>
      <c r="I119" s="2" t="str">
        <f aca="true">IF(AND(G119&lt;&gt;"Done",E119&lt;TODAY()),"Overdue","")</f>
        <v/>
      </c>
    </row>
    <row r="120" customFormat="false" ht="15" hidden="false" customHeight="false" outlineLevel="0" collapsed="false">
      <c r="A120" s="2" t="n">
        <v>119</v>
      </c>
      <c r="B120" s="2" t="n">
        <v>6</v>
      </c>
      <c r="C120" s="2" t="s">
        <v>223</v>
      </c>
      <c r="D120" s="2" t="s">
        <v>198</v>
      </c>
      <c r="E120" s="8" t="n">
        <v>46032</v>
      </c>
      <c r="F120" s="8" t="n">
        <v>46029</v>
      </c>
      <c r="G120" s="2" t="s">
        <v>114</v>
      </c>
      <c r="H120" s="2" t="n">
        <v>40</v>
      </c>
      <c r="I120" s="2" t="str">
        <f aca="true">IF(AND(G120&lt;&gt;"Done",E120&lt;TODAY()),"Overdue","")</f>
        <v/>
      </c>
    </row>
    <row r="121" customFormat="false" ht="15" hidden="false" customHeight="false" outlineLevel="0" collapsed="false">
      <c r="A121" s="2" t="n">
        <v>120</v>
      </c>
      <c r="B121" s="2" t="n">
        <v>6</v>
      </c>
      <c r="C121" s="2" t="s">
        <v>224</v>
      </c>
      <c r="D121" s="2" t="s">
        <v>111</v>
      </c>
      <c r="E121" s="8" t="n">
        <v>46004</v>
      </c>
      <c r="F121" s="8" t="n">
        <v>46005</v>
      </c>
      <c r="G121" s="2" t="s">
        <v>114</v>
      </c>
      <c r="H121" s="2" t="n">
        <v>16</v>
      </c>
      <c r="I121" s="2" t="str">
        <f aca="true">IF(AND(G121&lt;&gt;"Done",E121&lt;TODAY()),"Overdue","")</f>
        <v/>
      </c>
    </row>
    <row r="122" customFormat="false" ht="15" hidden="false" customHeight="false" outlineLevel="0" collapsed="false">
      <c r="A122" s="2" t="n">
        <v>121</v>
      </c>
      <c r="B122" s="2" t="n">
        <v>6</v>
      </c>
      <c r="C122" s="2" t="s">
        <v>189</v>
      </c>
      <c r="D122" s="2" t="s">
        <v>103</v>
      </c>
      <c r="E122" s="8" t="n">
        <v>46099</v>
      </c>
      <c r="F122" s="8" t="n">
        <v>46092</v>
      </c>
      <c r="G122" s="2" t="s">
        <v>114</v>
      </c>
      <c r="H122" s="2" t="n">
        <v>80</v>
      </c>
      <c r="I122" s="2" t="str">
        <f aca="true">IF(AND(G122&lt;&gt;"Done",E122&lt;TODAY()),"Overdue","")</f>
        <v/>
      </c>
    </row>
    <row r="123" customFormat="false" ht="15" hidden="false" customHeight="false" outlineLevel="0" collapsed="false">
      <c r="A123" s="2" t="n">
        <v>122</v>
      </c>
      <c r="B123" s="2" t="n">
        <v>6</v>
      </c>
      <c r="C123" s="2" t="s">
        <v>225</v>
      </c>
      <c r="D123" s="2" t="s">
        <v>194</v>
      </c>
      <c r="E123" s="8" t="n">
        <v>46120</v>
      </c>
      <c r="F123" s="8" t="n">
        <v>46128</v>
      </c>
      <c r="G123" s="2" t="s">
        <v>114</v>
      </c>
      <c r="H123" s="2" t="n">
        <v>40</v>
      </c>
      <c r="I123" s="2" t="str">
        <f aca="true">IF(AND(G123&lt;&gt;"Done",E123&lt;TODAY()),"Overdue","")</f>
        <v/>
      </c>
    </row>
    <row r="124" customFormat="false" ht="15" hidden="false" customHeight="false" outlineLevel="0" collapsed="false">
      <c r="A124" s="2" t="n">
        <v>123</v>
      </c>
      <c r="B124" s="2" t="n">
        <v>6</v>
      </c>
      <c r="C124" s="2" t="s">
        <v>226</v>
      </c>
      <c r="D124" s="2" t="s">
        <v>125</v>
      </c>
      <c r="E124" s="8" t="n">
        <v>46093</v>
      </c>
      <c r="F124" s="8" t="n">
        <v>46103</v>
      </c>
      <c r="G124" s="2" t="s">
        <v>114</v>
      </c>
      <c r="H124" s="2" t="n">
        <v>24</v>
      </c>
      <c r="I124" s="2" t="str">
        <f aca="true">IF(AND(G124&lt;&gt;"Done",E124&lt;TODAY()),"Overdue","")</f>
        <v/>
      </c>
    </row>
    <row r="125" customFormat="false" ht="15" hidden="false" customHeight="false" outlineLevel="0" collapsed="false">
      <c r="A125" s="2" t="n">
        <v>124</v>
      </c>
      <c r="B125" s="2" t="n">
        <v>6</v>
      </c>
      <c r="C125" s="2" t="s">
        <v>214</v>
      </c>
      <c r="D125" s="2" t="s">
        <v>153</v>
      </c>
      <c r="E125" s="8" t="n">
        <v>46052</v>
      </c>
      <c r="F125" s="8" t="n">
        <v>46052</v>
      </c>
      <c r="G125" s="2" t="s">
        <v>114</v>
      </c>
      <c r="H125" s="2" t="n">
        <v>80</v>
      </c>
      <c r="I125" s="2" t="str">
        <f aca="true">IF(AND(G125&lt;&gt;"Done",E125&lt;TODAY()),"Overdue","")</f>
        <v/>
      </c>
    </row>
    <row r="126" customFormat="false" ht="15" hidden="false" customHeight="false" outlineLevel="0" collapsed="false">
      <c r="A126" s="2" t="n">
        <v>125</v>
      </c>
      <c r="B126" s="2" t="n">
        <v>6</v>
      </c>
      <c r="C126" s="2" t="s">
        <v>227</v>
      </c>
      <c r="D126" s="2" t="s">
        <v>51</v>
      </c>
      <c r="E126" s="8" t="n">
        <v>46075</v>
      </c>
      <c r="F126" s="8"/>
      <c r="G126" s="2" t="s">
        <v>88</v>
      </c>
      <c r="H126" s="2" t="n">
        <v>80</v>
      </c>
      <c r="I126" s="2" t="str">
        <f aca="true">IF(AND(G126&lt;&gt;"Done",E126&lt;TODAY()),"Overdue","")</f>
        <v>Overdue</v>
      </c>
    </row>
    <row r="127" customFormat="false" ht="15" hidden="false" customHeight="false" outlineLevel="0" collapsed="false">
      <c r="A127" s="2" t="n">
        <v>126</v>
      </c>
      <c r="B127" s="2" t="n">
        <v>6</v>
      </c>
      <c r="C127" s="2" t="s">
        <v>228</v>
      </c>
      <c r="D127" s="2" t="s">
        <v>229</v>
      </c>
      <c r="E127" s="8" t="n">
        <v>46067</v>
      </c>
      <c r="F127" s="8" t="n">
        <v>46064</v>
      </c>
      <c r="G127" s="2" t="s">
        <v>114</v>
      </c>
      <c r="H127" s="2" t="n">
        <v>40</v>
      </c>
      <c r="I127" s="2" t="str">
        <f aca="true">IF(AND(G127&lt;&gt;"Done",E127&lt;TODAY()),"Overdue","")</f>
        <v/>
      </c>
    </row>
    <row r="128" customFormat="false" ht="15" hidden="false" customHeight="false" outlineLevel="0" collapsed="false">
      <c r="A128" s="2" t="n">
        <v>127</v>
      </c>
      <c r="B128" s="2" t="n">
        <v>6</v>
      </c>
      <c r="C128" s="2" t="s">
        <v>211</v>
      </c>
      <c r="D128" s="2" t="s">
        <v>194</v>
      </c>
      <c r="E128" s="8" t="n">
        <v>46121</v>
      </c>
      <c r="F128" s="8" t="n">
        <v>46117</v>
      </c>
      <c r="G128" s="2" t="s">
        <v>114</v>
      </c>
      <c r="H128" s="2" t="n">
        <v>4</v>
      </c>
      <c r="I128" s="2" t="str">
        <f aca="true">IF(AND(G128&lt;&gt;"Done",E128&lt;TODAY()),"Overdue","")</f>
        <v/>
      </c>
    </row>
    <row r="129" customFormat="false" ht="15" hidden="false" customHeight="false" outlineLevel="0" collapsed="false">
      <c r="A129" s="2" t="n">
        <v>128</v>
      </c>
      <c r="B129" s="2" t="n">
        <v>6</v>
      </c>
      <c r="C129" s="2" t="s">
        <v>108</v>
      </c>
      <c r="D129" s="2" t="s">
        <v>111</v>
      </c>
      <c r="E129" s="8" t="n">
        <v>46104</v>
      </c>
      <c r="F129" s="8" t="n">
        <v>46097</v>
      </c>
      <c r="G129" s="2" t="s">
        <v>114</v>
      </c>
      <c r="H129" s="2" t="n">
        <v>80</v>
      </c>
      <c r="I129" s="2" t="str">
        <f aca="true">IF(AND(G129&lt;&gt;"Done",E129&lt;TODAY()),"Overdue","")</f>
        <v/>
      </c>
    </row>
    <row r="130" customFormat="false" ht="15" hidden="false" customHeight="false" outlineLevel="0" collapsed="false">
      <c r="A130" s="2" t="n">
        <v>129</v>
      </c>
      <c r="B130" s="2" t="n">
        <v>6</v>
      </c>
      <c r="C130" s="2" t="s">
        <v>230</v>
      </c>
      <c r="D130" s="2" t="s">
        <v>155</v>
      </c>
      <c r="E130" s="8" t="n">
        <v>46009</v>
      </c>
      <c r="F130" s="8"/>
      <c r="G130" s="2" t="s">
        <v>88</v>
      </c>
      <c r="H130" s="2" t="n">
        <v>40</v>
      </c>
      <c r="I130" s="2" t="str">
        <f aca="true">IF(AND(G130&lt;&gt;"Done",E130&lt;TODAY()),"Overdue","")</f>
        <v>Overdue</v>
      </c>
    </row>
    <row r="131" customFormat="false" ht="15" hidden="false" customHeight="false" outlineLevel="0" collapsed="false">
      <c r="A131" s="2" t="n">
        <v>130</v>
      </c>
      <c r="B131" s="2" t="n">
        <v>6</v>
      </c>
      <c r="C131" s="2" t="s">
        <v>231</v>
      </c>
      <c r="D131" s="2" t="s">
        <v>37</v>
      </c>
      <c r="E131" s="8" t="n">
        <v>46071</v>
      </c>
      <c r="F131" s="8" t="n">
        <v>46074</v>
      </c>
      <c r="G131" s="2" t="s">
        <v>114</v>
      </c>
      <c r="H131" s="2" t="n">
        <v>24</v>
      </c>
      <c r="I131" s="2" t="str">
        <f aca="true">IF(AND(G131&lt;&gt;"Done",E131&lt;TODAY()),"Overdue","")</f>
        <v/>
      </c>
    </row>
    <row r="132" customFormat="false" ht="15" hidden="false" customHeight="false" outlineLevel="0" collapsed="false">
      <c r="A132" s="2" t="n">
        <v>131</v>
      </c>
      <c r="B132" s="2" t="n">
        <v>6</v>
      </c>
      <c r="C132" s="2" t="s">
        <v>232</v>
      </c>
      <c r="D132" s="2" t="s">
        <v>44</v>
      </c>
      <c r="E132" s="8" t="n">
        <v>46051</v>
      </c>
      <c r="F132" s="8" t="n">
        <v>46059</v>
      </c>
      <c r="G132" s="2" t="s">
        <v>114</v>
      </c>
      <c r="H132" s="2" t="n">
        <v>40</v>
      </c>
      <c r="I132" s="2" t="str">
        <f aca="true">IF(AND(G132&lt;&gt;"Done",E132&lt;TODAY()),"Overdue","")</f>
        <v/>
      </c>
    </row>
    <row r="133" customFormat="false" ht="15" hidden="false" customHeight="false" outlineLevel="0" collapsed="false">
      <c r="A133" s="2" t="n">
        <v>132</v>
      </c>
      <c r="B133" s="2" t="n">
        <v>6</v>
      </c>
      <c r="C133" s="2" t="s">
        <v>233</v>
      </c>
      <c r="D133" s="2" t="s">
        <v>90</v>
      </c>
      <c r="E133" s="8" t="n">
        <v>45987</v>
      </c>
      <c r="F133" s="8"/>
      <c r="G133" s="2" t="s">
        <v>48</v>
      </c>
      <c r="H133" s="2" t="n">
        <v>8</v>
      </c>
      <c r="I133" s="2" t="str">
        <f aca="true">IF(AND(G133&lt;&gt;"Done",E133&lt;TODAY()),"Overdue","")</f>
        <v>Overdue</v>
      </c>
    </row>
    <row r="134" customFormat="false" ht="15" hidden="false" customHeight="false" outlineLevel="0" collapsed="false">
      <c r="A134" s="2" t="n">
        <v>133</v>
      </c>
      <c r="B134" s="2" t="n">
        <v>6</v>
      </c>
      <c r="C134" s="2" t="s">
        <v>234</v>
      </c>
      <c r="D134" s="2" t="s">
        <v>51</v>
      </c>
      <c r="E134" s="8" t="n">
        <v>45993</v>
      </c>
      <c r="F134" s="8" t="n">
        <v>45989</v>
      </c>
      <c r="G134" s="2" t="s">
        <v>114</v>
      </c>
      <c r="H134" s="2" t="n">
        <v>80</v>
      </c>
      <c r="I134" s="2" t="str">
        <f aca="true">IF(AND(G134&lt;&gt;"Done",E134&lt;TODAY()),"Overdue","")</f>
        <v/>
      </c>
    </row>
    <row r="135" customFormat="false" ht="15" hidden="false" customHeight="false" outlineLevel="0" collapsed="false">
      <c r="A135" s="2" t="n">
        <v>134</v>
      </c>
      <c r="B135" s="2" t="n">
        <v>6</v>
      </c>
      <c r="C135" s="2" t="s">
        <v>235</v>
      </c>
      <c r="D135" s="2" t="s">
        <v>44</v>
      </c>
      <c r="E135" s="8" t="n">
        <v>45995</v>
      </c>
      <c r="F135" s="8" t="n">
        <v>45997</v>
      </c>
      <c r="G135" s="2" t="s">
        <v>114</v>
      </c>
      <c r="H135" s="2" t="n">
        <v>16</v>
      </c>
      <c r="I135" s="2" t="str">
        <f aca="true">IF(AND(G135&lt;&gt;"Done",E135&lt;TODAY()),"Overdue","")</f>
        <v/>
      </c>
    </row>
    <row r="136" customFormat="false" ht="15" hidden="false" customHeight="false" outlineLevel="0" collapsed="false">
      <c r="A136" s="2" t="n">
        <v>135</v>
      </c>
      <c r="B136" s="2" t="n">
        <v>6</v>
      </c>
      <c r="C136" s="2" t="s">
        <v>236</v>
      </c>
      <c r="D136" s="2" t="s">
        <v>109</v>
      </c>
      <c r="E136" s="8" t="n">
        <v>45984</v>
      </c>
      <c r="F136" s="8" t="n">
        <v>45988</v>
      </c>
      <c r="G136" s="2" t="s">
        <v>114</v>
      </c>
      <c r="H136" s="2" t="n">
        <v>40</v>
      </c>
      <c r="I136" s="2" t="str">
        <f aca="true">IF(AND(G136&lt;&gt;"Done",E136&lt;TODAY()),"Overdue","")</f>
        <v/>
      </c>
    </row>
    <row r="137" customFormat="false" ht="15" hidden="false" customHeight="false" outlineLevel="0" collapsed="false">
      <c r="A137" s="2" t="n">
        <v>136</v>
      </c>
      <c r="B137" s="2" t="n">
        <v>6</v>
      </c>
      <c r="C137" s="2" t="s">
        <v>152</v>
      </c>
      <c r="D137" s="2" t="s">
        <v>41</v>
      </c>
      <c r="E137" s="8" t="n">
        <v>46075</v>
      </c>
      <c r="F137" s="8" t="n">
        <v>46073</v>
      </c>
      <c r="G137" s="2" t="s">
        <v>114</v>
      </c>
      <c r="H137" s="2" t="n">
        <v>40</v>
      </c>
      <c r="I137" s="2" t="str">
        <f aca="true">IF(AND(G137&lt;&gt;"Done",E137&lt;TODAY()),"Overdue","")</f>
        <v/>
      </c>
    </row>
    <row r="138" customFormat="false" ht="15" hidden="false" customHeight="false" outlineLevel="0" collapsed="false">
      <c r="A138" s="2" t="n">
        <v>137</v>
      </c>
      <c r="B138" s="2" t="n">
        <v>6</v>
      </c>
      <c r="C138" s="2" t="s">
        <v>199</v>
      </c>
      <c r="D138" s="2" t="s">
        <v>121</v>
      </c>
      <c r="E138" s="8" t="n">
        <v>46067</v>
      </c>
      <c r="F138" s="8" t="n">
        <v>46067</v>
      </c>
      <c r="G138" s="2" t="s">
        <v>114</v>
      </c>
      <c r="H138" s="2" t="n">
        <v>8</v>
      </c>
      <c r="I138" s="2" t="str">
        <f aca="true">IF(AND(G138&lt;&gt;"Done",E138&lt;TODAY()),"Overdue","")</f>
        <v/>
      </c>
    </row>
    <row r="139" customFormat="false" ht="15" hidden="false" customHeight="false" outlineLevel="0" collapsed="false">
      <c r="A139" s="2" t="n">
        <v>138</v>
      </c>
      <c r="B139" s="2" t="n">
        <v>7</v>
      </c>
      <c r="C139" s="2" t="s">
        <v>216</v>
      </c>
      <c r="D139" s="2" t="s">
        <v>95</v>
      </c>
      <c r="E139" s="8" t="n">
        <v>46122</v>
      </c>
      <c r="F139" s="8" t="n">
        <v>46129</v>
      </c>
      <c r="G139" s="2" t="s">
        <v>114</v>
      </c>
      <c r="H139" s="2" t="n">
        <v>80</v>
      </c>
      <c r="I139" s="2" t="str">
        <f aca="true">IF(AND(G139&lt;&gt;"Done",E139&lt;TODAY()),"Overdue","")</f>
        <v/>
      </c>
    </row>
    <row r="140" customFormat="false" ht="15" hidden="false" customHeight="false" outlineLevel="0" collapsed="false">
      <c r="A140" s="2" t="n">
        <v>139</v>
      </c>
      <c r="B140" s="2" t="n">
        <v>7</v>
      </c>
      <c r="C140" s="2" t="s">
        <v>237</v>
      </c>
      <c r="D140" s="2" t="s">
        <v>194</v>
      </c>
      <c r="E140" s="8" t="n">
        <v>46124</v>
      </c>
      <c r="F140" s="8" t="n">
        <v>46134</v>
      </c>
      <c r="G140" s="2" t="s">
        <v>114</v>
      </c>
      <c r="H140" s="2" t="n">
        <v>16</v>
      </c>
      <c r="I140" s="2" t="str">
        <f aca="true">IF(AND(G140&lt;&gt;"Done",E140&lt;TODAY()),"Overdue","")</f>
        <v/>
      </c>
    </row>
    <row r="141" customFormat="false" ht="15" hidden="false" customHeight="false" outlineLevel="0" collapsed="false">
      <c r="A141" s="2" t="n">
        <v>140</v>
      </c>
      <c r="B141" s="2" t="n">
        <v>7</v>
      </c>
      <c r="C141" s="2" t="s">
        <v>238</v>
      </c>
      <c r="D141" s="2" t="s">
        <v>87</v>
      </c>
      <c r="E141" s="8" t="n">
        <v>46186</v>
      </c>
      <c r="F141" s="8"/>
      <c r="G141" s="2" t="s">
        <v>48</v>
      </c>
      <c r="H141" s="2" t="n">
        <v>24</v>
      </c>
      <c r="I141" s="2" t="str">
        <f aca="true">IF(AND(G141&lt;&gt;"Done",E141&lt;TODAY()),"Overdue","")</f>
        <v/>
      </c>
    </row>
    <row r="142" customFormat="false" ht="15" hidden="false" customHeight="false" outlineLevel="0" collapsed="false">
      <c r="A142" s="2" t="n">
        <v>141</v>
      </c>
      <c r="B142" s="2" t="n">
        <v>7</v>
      </c>
      <c r="C142" s="2" t="s">
        <v>145</v>
      </c>
      <c r="D142" s="2" t="s">
        <v>204</v>
      </c>
      <c r="E142" s="8" t="n">
        <v>46040</v>
      </c>
      <c r="F142" s="8"/>
      <c r="G142" s="2" t="s">
        <v>88</v>
      </c>
      <c r="H142" s="2" t="n">
        <v>4</v>
      </c>
      <c r="I142" s="2" t="str">
        <f aca="true">IF(AND(G142&lt;&gt;"Done",E142&lt;TODAY()),"Overdue","")</f>
        <v>Overdue</v>
      </c>
    </row>
    <row r="143" customFormat="false" ht="15" hidden="false" customHeight="false" outlineLevel="0" collapsed="false">
      <c r="A143" s="2" t="n">
        <v>142</v>
      </c>
      <c r="B143" s="2" t="n">
        <v>7</v>
      </c>
      <c r="C143" s="2" t="s">
        <v>239</v>
      </c>
      <c r="D143" s="2" t="s">
        <v>90</v>
      </c>
      <c r="E143" s="8" t="n">
        <v>46007</v>
      </c>
      <c r="F143" s="8"/>
      <c r="G143" s="2" t="s">
        <v>48</v>
      </c>
      <c r="H143" s="2" t="n">
        <v>60</v>
      </c>
      <c r="I143" s="2" t="str">
        <f aca="true">IF(AND(G143&lt;&gt;"Done",E143&lt;TODAY()),"Overdue","")</f>
        <v>Overdue</v>
      </c>
    </row>
    <row r="144" customFormat="false" ht="15" hidden="false" customHeight="false" outlineLevel="0" collapsed="false">
      <c r="A144" s="2" t="n">
        <v>143</v>
      </c>
      <c r="B144" s="2" t="n">
        <v>7</v>
      </c>
      <c r="C144" s="2" t="s">
        <v>231</v>
      </c>
      <c r="D144" s="2" t="s">
        <v>162</v>
      </c>
      <c r="E144" s="8" t="n">
        <v>46037</v>
      </c>
      <c r="F144" s="8"/>
      <c r="G144" s="2" t="s">
        <v>88</v>
      </c>
      <c r="H144" s="2" t="n">
        <v>16</v>
      </c>
      <c r="I144" s="2" t="str">
        <f aca="true">IF(AND(G144&lt;&gt;"Done",E144&lt;TODAY()),"Overdue","")</f>
        <v>Overdue</v>
      </c>
    </row>
    <row r="145" customFormat="false" ht="15" hidden="false" customHeight="false" outlineLevel="0" collapsed="false">
      <c r="A145" s="2" t="n">
        <v>144</v>
      </c>
      <c r="B145" s="2" t="n">
        <v>7</v>
      </c>
      <c r="C145" s="2" t="s">
        <v>182</v>
      </c>
      <c r="D145" s="2" t="s">
        <v>97</v>
      </c>
      <c r="E145" s="8" t="n">
        <v>45890</v>
      </c>
      <c r="F145" s="8" t="n">
        <v>45884</v>
      </c>
      <c r="G145" s="2" t="s">
        <v>114</v>
      </c>
      <c r="H145" s="2" t="n">
        <v>24</v>
      </c>
      <c r="I145" s="2" t="str">
        <f aca="true">IF(AND(G145&lt;&gt;"Done",E145&lt;TODAY()),"Overdue","")</f>
        <v/>
      </c>
    </row>
    <row r="146" customFormat="false" ht="15" hidden="false" customHeight="false" outlineLevel="0" collapsed="false">
      <c r="A146" s="2" t="n">
        <v>145</v>
      </c>
      <c r="B146" s="2" t="n">
        <v>7</v>
      </c>
      <c r="C146" s="2" t="s">
        <v>240</v>
      </c>
      <c r="D146" s="2" t="s">
        <v>105</v>
      </c>
      <c r="E146" s="8" t="n">
        <v>46032</v>
      </c>
      <c r="F146" s="8" t="n">
        <v>46032</v>
      </c>
      <c r="G146" s="2" t="s">
        <v>114</v>
      </c>
      <c r="H146" s="2" t="n">
        <v>8</v>
      </c>
      <c r="I146" s="2" t="str">
        <f aca="true">IF(AND(G146&lt;&gt;"Done",E146&lt;TODAY()),"Overdue","")</f>
        <v/>
      </c>
    </row>
    <row r="147" customFormat="false" ht="15" hidden="false" customHeight="false" outlineLevel="0" collapsed="false">
      <c r="A147" s="2" t="n">
        <v>146</v>
      </c>
      <c r="B147" s="2" t="n">
        <v>7</v>
      </c>
      <c r="C147" s="2" t="s">
        <v>216</v>
      </c>
      <c r="D147" s="2" t="s">
        <v>148</v>
      </c>
      <c r="E147" s="8" t="n">
        <v>46211</v>
      </c>
      <c r="F147" s="8"/>
      <c r="G147" s="2" t="s">
        <v>88</v>
      </c>
      <c r="H147" s="2" t="n">
        <v>60</v>
      </c>
      <c r="I147" s="2" t="str">
        <f aca="true">IF(AND(G147&lt;&gt;"Done",E147&lt;TODAY()),"Overdue","")</f>
        <v/>
      </c>
    </row>
    <row r="148" customFormat="false" ht="15" hidden="false" customHeight="false" outlineLevel="0" collapsed="false">
      <c r="A148" s="2" t="n">
        <v>147</v>
      </c>
      <c r="B148" s="2" t="n">
        <v>7</v>
      </c>
      <c r="C148" s="2" t="s">
        <v>241</v>
      </c>
      <c r="D148" s="2" t="s">
        <v>92</v>
      </c>
      <c r="E148" s="8" t="n">
        <v>46223</v>
      </c>
      <c r="F148" s="8" t="n">
        <v>46220</v>
      </c>
      <c r="G148" s="2" t="s">
        <v>114</v>
      </c>
      <c r="H148" s="2" t="n">
        <v>60</v>
      </c>
      <c r="I148" s="2" t="str">
        <f aca="true">IF(AND(G148&lt;&gt;"Done",E148&lt;TODAY()),"Overdue","")</f>
        <v/>
      </c>
    </row>
    <row r="149" customFormat="false" ht="15" hidden="false" customHeight="false" outlineLevel="0" collapsed="false">
      <c r="A149" s="2" t="n">
        <v>148</v>
      </c>
      <c r="B149" s="2" t="n">
        <v>7</v>
      </c>
      <c r="C149" s="2" t="s">
        <v>228</v>
      </c>
      <c r="D149" s="2" t="s">
        <v>121</v>
      </c>
      <c r="E149" s="8" t="n">
        <v>45906</v>
      </c>
      <c r="F149" s="8"/>
      <c r="G149" s="2" t="s">
        <v>48</v>
      </c>
      <c r="H149" s="2" t="n">
        <v>16</v>
      </c>
      <c r="I149" s="2" t="str">
        <f aca="true">IF(AND(G149&lt;&gt;"Done",E149&lt;TODAY()),"Overdue","")</f>
        <v>Overdue</v>
      </c>
    </row>
    <row r="150" customFormat="false" ht="15" hidden="false" customHeight="false" outlineLevel="0" collapsed="false">
      <c r="A150" s="2" t="n">
        <v>149</v>
      </c>
      <c r="B150" s="2" t="n">
        <v>7</v>
      </c>
      <c r="C150" s="2" t="s">
        <v>180</v>
      </c>
      <c r="D150" s="2" t="s">
        <v>97</v>
      </c>
      <c r="E150" s="8" t="n">
        <v>45953</v>
      </c>
      <c r="F150" s="8"/>
      <c r="G150" s="2" t="s">
        <v>88</v>
      </c>
      <c r="H150" s="2" t="n">
        <v>24</v>
      </c>
      <c r="I150" s="2" t="str">
        <f aca="true">IF(AND(G150&lt;&gt;"Done",E150&lt;TODAY()),"Overdue","")</f>
        <v>Overdue</v>
      </c>
    </row>
    <row r="151" customFormat="false" ht="15" hidden="false" customHeight="false" outlineLevel="0" collapsed="false">
      <c r="A151" s="2" t="n">
        <v>150</v>
      </c>
      <c r="B151" s="2" t="n">
        <v>7</v>
      </c>
      <c r="C151" s="2" t="s">
        <v>226</v>
      </c>
      <c r="D151" s="2" t="s">
        <v>100</v>
      </c>
      <c r="E151" s="8" t="n">
        <v>45975</v>
      </c>
      <c r="F151" s="8"/>
      <c r="G151" s="2" t="s">
        <v>88</v>
      </c>
      <c r="H151" s="2" t="n">
        <v>40</v>
      </c>
      <c r="I151" s="2" t="str">
        <f aca="true">IF(AND(G151&lt;&gt;"Done",E151&lt;TODAY()),"Overdue","")</f>
        <v>Overdue</v>
      </c>
    </row>
    <row r="152" customFormat="false" ht="15" hidden="false" customHeight="false" outlineLevel="0" collapsed="false">
      <c r="A152" s="2" t="n">
        <v>151</v>
      </c>
      <c r="B152" s="2" t="n">
        <v>7</v>
      </c>
      <c r="C152" s="2" t="s">
        <v>93</v>
      </c>
      <c r="D152" s="2" t="s">
        <v>204</v>
      </c>
      <c r="E152" s="8" t="n">
        <v>46142</v>
      </c>
      <c r="F152" s="8" t="n">
        <v>46140</v>
      </c>
      <c r="G152" s="2" t="s">
        <v>114</v>
      </c>
      <c r="H152" s="2" t="n">
        <v>80</v>
      </c>
      <c r="I152" s="2" t="str">
        <f aca="true">IF(AND(G152&lt;&gt;"Done",E152&lt;TODAY()),"Overdue","")</f>
        <v/>
      </c>
    </row>
    <row r="153" customFormat="false" ht="15" hidden="false" customHeight="false" outlineLevel="0" collapsed="false">
      <c r="A153" s="2" t="n">
        <v>152</v>
      </c>
      <c r="B153" s="2" t="n">
        <v>7</v>
      </c>
      <c r="C153" s="2" t="s">
        <v>174</v>
      </c>
      <c r="D153" s="2" t="s">
        <v>116</v>
      </c>
      <c r="E153" s="8" t="n">
        <v>46037</v>
      </c>
      <c r="F153" s="8" t="n">
        <v>46040</v>
      </c>
      <c r="G153" s="2" t="s">
        <v>114</v>
      </c>
      <c r="H153" s="2" t="n">
        <v>4</v>
      </c>
      <c r="I153" s="2" t="str">
        <f aca="true">IF(AND(G153&lt;&gt;"Done",E153&lt;TODAY()),"Overdue","")</f>
        <v/>
      </c>
    </row>
    <row r="154" customFormat="false" ht="15" hidden="false" customHeight="false" outlineLevel="0" collapsed="false">
      <c r="A154" s="2" t="n">
        <v>153</v>
      </c>
      <c r="B154" s="2" t="n">
        <v>7</v>
      </c>
      <c r="C154" s="2" t="s">
        <v>231</v>
      </c>
      <c r="D154" s="2" t="s">
        <v>123</v>
      </c>
      <c r="E154" s="8" t="n">
        <v>45958</v>
      </c>
      <c r="F154" s="8" t="n">
        <v>45958</v>
      </c>
      <c r="G154" s="2" t="s">
        <v>114</v>
      </c>
      <c r="H154" s="2" t="n">
        <v>60</v>
      </c>
      <c r="I154" s="2" t="str">
        <f aca="true">IF(AND(G154&lt;&gt;"Done",E154&lt;TODAY()),"Overdue","")</f>
        <v/>
      </c>
    </row>
    <row r="155" customFormat="false" ht="15" hidden="false" customHeight="false" outlineLevel="0" collapsed="false">
      <c r="A155" s="2" t="n">
        <v>154</v>
      </c>
      <c r="B155" s="2" t="n">
        <v>7</v>
      </c>
      <c r="C155" s="2" t="s">
        <v>226</v>
      </c>
      <c r="D155" s="2" t="s">
        <v>100</v>
      </c>
      <c r="E155" s="8" t="n">
        <v>46089</v>
      </c>
      <c r="F155" s="8"/>
      <c r="G155" s="2" t="s">
        <v>101</v>
      </c>
      <c r="H155" s="2" t="n">
        <v>4</v>
      </c>
      <c r="I155" s="2" t="str">
        <f aca="true">IF(AND(G155&lt;&gt;"Done",E155&lt;TODAY()),"Overdue","")</f>
        <v>Overdue</v>
      </c>
    </row>
    <row r="156" customFormat="false" ht="15" hidden="false" customHeight="false" outlineLevel="0" collapsed="false">
      <c r="A156" s="2" t="n">
        <v>155</v>
      </c>
      <c r="B156" s="2" t="n">
        <v>7</v>
      </c>
      <c r="C156" s="2" t="s">
        <v>124</v>
      </c>
      <c r="D156" s="2" t="s">
        <v>116</v>
      </c>
      <c r="E156" s="8" t="n">
        <v>46088</v>
      </c>
      <c r="F156" s="8"/>
      <c r="G156" s="2" t="s">
        <v>88</v>
      </c>
      <c r="H156" s="2" t="n">
        <v>16</v>
      </c>
      <c r="I156" s="2" t="str">
        <f aca="true">IF(AND(G156&lt;&gt;"Done",E156&lt;TODAY()),"Overdue","")</f>
        <v>Overdue</v>
      </c>
    </row>
    <row r="157" customFormat="false" ht="15" hidden="false" customHeight="false" outlineLevel="0" collapsed="false">
      <c r="A157" s="2" t="n">
        <v>156</v>
      </c>
      <c r="B157" s="2" t="n">
        <v>7</v>
      </c>
      <c r="C157" s="2" t="s">
        <v>214</v>
      </c>
      <c r="D157" s="2" t="s">
        <v>92</v>
      </c>
      <c r="E157" s="8" t="n">
        <v>46230</v>
      </c>
      <c r="F157" s="8" t="n">
        <v>46231</v>
      </c>
      <c r="G157" s="2" t="s">
        <v>114</v>
      </c>
      <c r="H157" s="2" t="n">
        <v>16</v>
      </c>
      <c r="I157" s="2" t="str">
        <f aca="true">IF(AND(G157&lt;&gt;"Done",E157&lt;TODAY()),"Overdue","")</f>
        <v/>
      </c>
    </row>
    <row r="158" customFormat="false" ht="15" hidden="false" customHeight="false" outlineLevel="0" collapsed="false">
      <c r="A158" s="2" t="n">
        <v>157</v>
      </c>
      <c r="B158" s="2" t="n">
        <v>7</v>
      </c>
      <c r="C158" s="2" t="s">
        <v>242</v>
      </c>
      <c r="D158" s="2" t="s">
        <v>146</v>
      </c>
      <c r="E158" s="8" t="n">
        <v>45941</v>
      </c>
      <c r="F158" s="8" t="n">
        <v>45949</v>
      </c>
      <c r="G158" s="2" t="s">
        <v>114</v>
      </c>
      <c r="H158" s="2" t="n">
        <v>16</v>
      </c>
      <c r="I158" s="2" t="str">
        <f aca="true">IF(AND(G158&lt;&gt;"Done",E158&lt;TODAY()),"Overdue","")</f>
        <v/>
      </c>
    </row>
    <row r="159" customFormat="false" ht="15" hidden="false" customHeight="false" outlineLevel="0" collapsed="false">
      <c r="A159" s="2" t="n">
        <v>158</v>
      </c>
      <c r="B159" s="2" t="n">
        <v>7</v>
      </c>
      <c r="C159" s="2" t="s">
        <v>243</v>
      </c>
      <c r="D159" s="2" t="s">
        <v>116</v>
      </c>
      <c r="E159" s="8" t="n">
        <v>46198</v>
      </c>
      <c r="F159" s="8"/>
      <c r="G159" s="2" t="s">
        <v>88</v>
      </c>
      <c r="H159" s="2" t="n">
        <v>60</v>
      </c>
      <c r="I159" s="2" t="str">
        <f aca="true">IF(AND(G159&lt;&gt;"Done",E159&lt;TODAY()),"Overdue","")</f>
        <v/>
      </c>
    </row>
    <row r="160" customFormat="false" ht="15" hidden="false" customHeight="false" outlineLevel="0" collapsed="false">
      <c r="A160" s="2" t="n">
        <v>159</v>
      </c>
      <c r="B160" s="2" t="n">
        <v>7</v>
      </c>
      <c r="C160" s="2" t="s">
        <v>102</v>
      </c>
      <c r="D160" s="2" t="s">
        <v>44</v>
      </c>
      <c r="E160" s="8" t="n">
        <v>46040</v>
      </c>
      <c r="F160" s="8" t="n">
        <v>46036</v>
      </c>
      <c r="G160" s="2" t="s">
        <v>114</v>
      </c>
      <c r="H160" s="2" t="n">
        <v>16</v>
      </c>
      <c r="I160" s="2" t="str">
        <f aca="true">IF(AND(G160&lt;&gt;"Done",E160&lt;TODAY()),"Overdue","")</f>
        <v/>
      </c>
    </row>
    <row r="161" customFormat="false" ht="15" hidden="false" customHeight="false" outlineLevel="0" collapsed="false">
      <c r="A161" s="2" t="n">
        <v>160</v>
      </c>
      <c r="B161" s="2" t="n">
        <v>8</v>
      </c>
      <c r="C161" s="2" t="s">
        <v>244</v>
      </c>
      <c r="D161" s="2" t="s">
        <v>229</v>
      </c>
      <c r="E161" s="8" t="n">
        <v>45921</v>
      </c>
      <c r="F161" s="8"/>
      <c r="G161" s="2" t="s">
        <v>88</v>
      </c>
      <c r="H161" s="2" t="n">
        <v>24</v>
      </c>
      <c r="I161" s="2" t="str">
        <f aca="true">IF(AND(G161&lt;&gt;"Done",E161&lt;TODAY()),"Overdue","")</f>
        <v>Overdue</v>
      </c>
    </row>
    <row r="162" customFormat="false" ht="15" hidden="false" customHeight="false" outlineLevel="0" collapsed="false">
      <c r="A162" s="2" t="n">
        <v>161</v>
      </c>
      <c r="B162" s="2" t="n">
        <v>8</v>
      </c>
      <c r="C162" s="2" t="s">
        <v>127</v>
      </c>
      <c r="D162" s="2" t="s">
        <v>37</v>
      </c>
      <c r="E162" s="8" t="n">
        <v>46008</v>
      </c>
      <c r="F162" s="8"/>
      <c r="G162" s="2" t="s">
        <v>48</v>
      </c>
      <c r="H162" s="2" t="n">
        <v>24</v>
      </c>
      <c r="I162" s="2" t="str">
        <f aca="true">IF(AND(G162&lt;&gt;"Done",E162&lt;TODAY()),"Overdue","")</f>
        <v>Overdue</v>
      </c>
    </row>
    <row r="163" customFormat="false" ht="15" hidden="false" customHeight="false" outlineLevel="0" collapsed="false">
      <c r="A163" s="2" t="n">
        <v>162</v>
      </c>
      <c r="B163" s="2" t="n">
        <v>8</v>
      </c>
      <c r="C163" s="2" t="s">
        <v>245</v>
      </c>
      <c r="D163" s="2" t="s">
        <v>165</v>
      </c>
      <c r="E163" s="8" t="n">
        <v>46042</v>
      </c>
      <c r="F163" s="8" t="n">
        <v>46039</v>
      </c>
      <c r="G163" s="2" t="s">
        <v>114</v>
      </c>
      <c r="H163" s="2" t="n">
        <v>4</v>
      </c>
      <c r="I163" s="2" t="str">
        <f aca="true">IF(AND(G163&lt;&gt;"Done",E163&lt;TODAY()),"Overdue","")</f>
        <v/>
      </c>
    </row>
    <row r="164" customFormat="false" ht="15" hidden="false" customHeight="false" outlineLevel="0" collapsed="false">
      <c r="A164" s="2" t="n">
        <v>163</v>
      </c>
      <c r="B164" s="2" t="n">
        <v>8</v>
      </c>
      <c r="C164" s="2" t="s">
        <v>246</v>
      </c>
      <c r="D164" s="2" t="s">
        <v>100</v>
      </c>
      <c r="E164" s="8" t="n">
        <v>46017</v>
      </c>
      <c r="F164" s="8" t="n">
        <v>46018</v>
      </c>
      <c r="G164" s="2" t="s">
        <v>114</v>
      </c>
      <c r="H164" s="2" t="n">
        <v>8</v>
      </c>
      <c r="I164" s="2" t="str">
        <f aca="true">IF(AND(G164&lt;&gt;"Done",E164&lt;TODAY()),"Overdue","")</f>
        <v/>
      </c>
    </row>
    <row r="165" customFormat="false" ht="15" hidden="false" customHeight="false" outlineLevel="0" collapsed="false">
      <c r="A165" s="2" t="n">
        <v>164</v>
      </c>
      <c r="B165" s="2" t="n">
        <v>8</v>
      </c>
      <c r="C165" s="2" t="s">
        <v>169</v>
      </c>
      <c r="D165" s="2" t="s">
        <v>100</v>
      </c>
      <c r="E165" s="8" t="n">
        <v>46005</v>
      </c>
      <c r="F165" s="8"/>
      <c r="G165" s="2" t="s">
        <v>48</v>
      </c>
      <c r="H165" s="2" t="n">
        <v>4</v>
      </c>
      <c r="I165" s="2" t="str">
        <f aca="true">IF(AND(G165&lt;&gt;"Done",E165&lt;TODAY()),"Overdue","")</f>
        <v>Overdue</v>
      </c>
    </row>
    <row r="166" customFormat="false" ht="15" hidden="false" customHeight="false" outlineLevel="0" collapsed="false">
      <c r="A166" s="2" t="n">
        <v>165</v>
      </c>
      <c r="B166" s="2" t="n">
        <v>8</v>
      </c>
      <c r="C166" s="2" t="s">
        <v>247</v>
      </c>
      <c r="D166" s="2" t="s">
        <v>105</v>
      </c>
      <c r="E166" s="8" t="n">
        <v>46067</v>
      </c>
      <c r="F166" s="8"/>
      <c r="G166" s="2" t="s">
        <v>48</v>
      </c>
      <c r="H166" s="2" t="n">
        <v>4</v>
      </c>
      <c r="I166" s="2" t="str">
        <f aca="true">IF(AND(G166&lt;&gt;"Done",E166&lt;TODAY()),"Overdue","")</f>
        <v>Overdue</v>
      </c>
    </row>
    <row r="167" customFormat="false" ht="15" hidden="false" customHeight="false" outlineLevel="0" collapsed="false">
      <c r="A167" s="2" t="n">
        <v>166</v>
      </c>
      <c r="B167" s="2" t="n">
        <v>8</v>
      </c>
      <c r="C167" s="2" t="s">
        <v>190</v>
      </c>
      <c r="D167" s="2" t="s">
        <v>116</v>
      </c>
      <c r="E167" s="8" t="n">
        <v>45993</v>
      </c>
      <c r="F167" s="8"/>
      <c r="G167" s="2" t="s">
        <v>48</v>
      </c>
      <c r="H167" s="2" t="n">
        <v>4</v>
      </c>
      <c r="I167" s="2" t="str">
        <f aca="true">IF(AND(G167&lt;&gt;"Done",E167&lt;TODAY()),"Overdue","")</f>
        <v>Overdue</v>
      </c>
    </row>
    <row r="168" customFormat="false" ht="15" hidden="false" customHeight="false" outlineLevel="0" collapsed="false">
      <c r="A168" s="2" t="n">
        <v>167</v>
      </c>
      <c r="B168" s="2" t="n">
        <v>8</v>
      </c>
      <c r="C168" s="2" t="s">
        <v>220</v>
      </c>
      <c r="D168" s="2" t="s">
        <v>47</v>
      </c>
      <c r="E168" s="8" t="n">
        <v>46061</v>
      </c>
      <c r="F168" s="8"/>
      <c r="G168" s="2" t="s">
        <v>88</v>
      </c>
      <c r="H168" s="2" t="n">
        <v>4</v>
      </c>
      <c r="I168" s="2" t="str">
        <f aca="true">IF(AND(G168&lt;&gt;"Done",E168&lt;TODAY()),"Overdue","")</f>
        <v>Overdue</v>
      </c>
    </row>
    <row r="169" customFormat="false" ht="15" hidden="false" customHeight="false" outlineLevel="0" collapsed="false">
      <c r="A169" s="2" t="n">
        <v>168</v>
      </c>
      <c r="B169" s="2" t="n">
        <v>8</v>
      </c>
      <c r="C169" s="2" t="s">
        <v>141</v>
      </c>
      <c r="D169" s="2" t="s">
        <v>175</v>
      </c>
      <c r="E169" s="8" t="n">
        <v>45977</v>
      </c>
      <c r="F169" s="8"/>
      <c r="G169" s="2" t="s">
        <v>88</v>
      </c>
      <c r="H169" s="2" t="n">
        <v>8</v>
      </c>
      <c r="I169" s="2" t="str">
        <f aca="true">IF(AND(G169&lt;&gt;"Done",E169&lt;TODAY()),"Overdue","")</f>
        <v>Overdue</v>
      </c>
    </row>
    <row r="170" customFormat="false" ht="15" hidden="false" customHeight="false" outlineLevel="0" collapsed="false">
      <c r="A170" s="2" t="n">
        <v>169</v>
      </c>
      <c r="B170" s="2" t="n">
        <v>8</v>
      </c>
      <c r="C170" s="2" t="s">
        <v>248</v>
      </c>
      <c r="D170" s="2" t="s">
        <v>249</v>
      </c>
      <c r="E170" s="8" t="n">
        <v>45909</v>
      </c>
      <c r="F170" s="8" t="n">
        <v>45919</v>
      </c>
      <c r="G170" s="2" t="s">
        <v>114</v>
      </c>
      <c r="H170" s="2" t="n">
        <v>80</v>
      </c>
      <c r="I170" s="2" t="str">
        <f aca="true">IF(AND(G170&lt;&gt;"Done",E170&lt;TODAY()),"Overdue","")</f>
        <v/>
      </c>
    </row>
    <row r="171" customFormat="false" ht="15" hidden="false" customHeight="false" outlineLevel="0" collapsed="false">
      <c r="A171" s="2" t="n">
        <v>170</v>
      </c>
      <c r="B171" s="2" t="n">
        <v>8</v>
      </c>
      <c r="C171" s="2" t="s">
        <v>141</v>
      </c>
      <c r="D171" s="2" t="s">
        <v>198</v>
      </c>
      <c r="E171" s="8" t="n">
        <v>45951</v>
      </c>
      <c r="F171" s="8"/>
      <c r="G171" s="2" t="s">
        <v>48</v>
      </c>
      <c r="H171" s="2" t="n">
        <v>4</v>
      </c>
      <c r="I171" s="2" t="str">
        <f aca="true">IF(AND(G171&lt;&gt;"Done",E171&lt;TODAY()),"Overdue","")</f>
        <v>Overdue</v>
      </c>
    </row>
    <row r="172" customFormat="false" ht="15" hidden="false" customHeight="false" outlineLevel="0" collapsed="false">
      <c r="A172" s="2" t="n">
        <v>171</v>
      </c>
      <c r="B172" s="2" t="n">
        <v>8</v>
      </c>
      <c r="C172" s="2" t="s">
        <v>202</v>
      </c>
      <c r="D172" s="2" t="s">
        <v>87</v>
      </c>
      <c r="E172" s="8" t="n">
        <v>45962</v>
      </c>
      <c r="F172" s="8" t="n">
        <v>45959</v>
      </c>
      <c r="G172" s="2" t="s">
        <v>114</v>
      </c>
      <c r="H172" s="2" t="n">
        <v>80</v>
      </c>
      <c r="I172" s="2" t="str">
        <f aca="true">IF(AND(G172&lt;&gt;"Done",E172&lt;TODAY()),"Overdue","")</f>
        <v/>
      </c>
    </row>
    <row r="173" customFormat="false" ht="15" hidden="false" customHeight="false" outlineLevel="0" collapsed="false">
      <c r="A173" s="2" t="n">
        <v>172</v>
      </c>
      <c r="B173" s="2" t="n">
        <v>8</v>
      </c>
      <c r="C173" s="2" t="s">
        <v>250</v>
      </c>
      <c r="D173" s="2" t="s">
        <v>229</v>
      </c>
      <c r="E173" s="8" t="n">
        <v>45936</v>
      </c>
      <c r="F173" s="8"/>
      <c r="G173" s="2" t="s">
        <v>88</v>
      </c>
      <c r="H173" s="2" t="n">
        <v>4</v>
      </c>
      <c r="I173" s="2" t="str">
        <f aca="true">IF(AND(G173&lt;&gt;"Done",E173&lt;TODAY()),"Overdue","")</f>
        <v>Overdue</v>
      </c>
    </row>
    <row r="174" customFormat="false" ht="15" hidden="false" customHeight="false" outlineLevel="0" collapsed="false">
      <c r="A174" s="2" t="n">
        <v>173</v>
      </c>
      <c r="B174" s="2" t="n">
        <v>8</v>
      </c>
      <c r="C174" s="2" t="s">
        <v>128</v>
      </c>
      <c r="D174" s="2" t="s">
        <v>47</v>
      </c>
      <c r="E174" s="8" t="n">
        <v>45983</v>
      </c>
      <c r="F174" s="8" t="n">
        <v>45983</v>
      </c>
      <c r="G174" s="2" t="s">
        <v>114</v>
      </c>
      <c r="H174" s="2" t="n">
        <v>8</v>
      </c>
      <c r="I174" s="2" t="str">
        <f aca="true">IF(AND(G174&lt;&gt;"Done",E174&lt;TODAY()),"Overdue","")</f>
        <v/>
      </c>
    </row>
    <row r="175" customFormat="false" ht="15" hidden="false" customHeight="false" outlineLevel="0" collapsed="false">
      <c r="A175" s="2" t="n">
        <v>174</v>
      </c>
      <c r="B175" s="2" t="n">
        <v>8</v>
      </c>
      <c r="C175" s="2" t="s">
        <v>126</v>
      </c>
      <c r="D175" s="2" t="s">
        <v>251</v>
      </c>
      <c r="E175" s="8" t="n">
        <v>45959</v>
      </c>
      <c r="F175" s="8"/>
      <c r="G175" s="2" t="s">
        <v>88</v>
      </c>
      <c r="H175" s="2" t="n">
        <v>4</v>
      </c>
      <c r="I175" s="2" t="str">
        <f aca="true">IF(AND(G175&lt;&gt;"Done",E175&lt;TODAY()),"Overdue","")</f>
        <v>Overdue</v>
      </c>
    </row>
    <row r="176" customFormat="false" ht="15" hidden="false" customHeight="false" outlineLevel="0" collapsed="false">
      <c r="A176" s="2" t="n">
        <v>175</v>
      </c>
      <c r="B176" s="2" t="n">
        <v>8</v>
      </c>
      <c r="C176" s="2" t="s">
        <v>252</v>
      </c>
      <c r="D176" s="2" t="s">
        <v>135</v>
      </c>
      <c r="E176" s="8" t="n">
        <v>45908</v>
      </c>
      <c r="F176" s="8"/>
      <c r="G176" s="2" t="s">
        <v>48</v>
      </c>
      <c r="H176" s="2" t="n">
        <v>40</v>
      </c>
      <c r="I176" s="2" t="str">
        <f aca="true">IF(AND(G176&lt;&gt;"Done",E176&lt;TODAY()),"Overdue","")</f>
        <v>Overdue</v>
      </c>
    </row>
    <row r="177" customFormat="false" ht="15" hidden="false" customHeight="false" outlineLevel="0" collapsed="false">
      <c r="A177" s="2" t="n">
        <v>176</v>
      </c>
      <c r="B177" s="2" t="n">
        <v>8</v>
      </c>
      <c r="C177" s="2" t="s">
        <v>248</v>
      </c>
      <c r="D177" s="2" t="s">
        <v>44</v>
      </c>
      <c r="E177" s="8" t="n">
        <v>45919</v>
      </c>
      <c r="F177" s="8"/>
      <c r="G177" s="2" t="s">
        <v>48</v>
      </c>
      <c r="H177" s="2" t="n">
        <v>60</v>
      </c>
      <c r="I177" s="2" t="str">
        <f aca="true">IF(AND(G177&lt;&gt;"Done",E177&lt;TODAY()),"Overdue","")</f>
        <v>Overdue</v>
      </c>
    </row>
    <row r="178" customFormat="false" ht="15" hidden="false" customHeight="false" outlineLevel="0" collapsed="false">
      <c r="A178" s="2" t="n">
        <v>177</v>
      </c>
      <c r="B178" s="2" t="n">
        <v>8</v>
      </c>
      <c r="C178" s="2" t="s">
        <v>253</v>
      </c>
      <c r="D178" s="2" t="s">
        <v>66</v>
      </c>
      <c r="E178" s="8" t="n">
        <v>46060</v>
      </c>
      <c r="F178" s="8" t="n">
        <v>46067</v>
      </c>
      <c r="G178" s="2" t="s">
        <v>114</v>
      </c>
      <c r="H178" s="2" t="n">
        <v>24</v>
      </c>
      <c r="I178" s="2" t="str">
        <f aca="true">IF(AND(G178&lt;&gt;"Done",E178&lt;TODAY()),"Overdue","")</f>
        <v/>
      </c>
    </row>
    <row r="179" customFormat="false" ht="15" hidden="false" customHeight="false" outlineLevel="0" collapsed="false">
      <c r="A179" s="2" t="n">
        <v>178</v>
      </c>
      <c r="B179" s="2" t="n">
        <v>8</v>
      </c>
      <c r="C179" s="2" t="s">
        <v>167</v>
      </c>
      <c r="D179" s="2" t="s">
        <v>51</v>
      </c>
      <c r="E179" s="8" t="n">
        <v>45994</v>
      </c>
      <c r="F179" s="8"/>
      <c r="G179" s="2" t="s">
        <v>48</v>
      </c>
      <c r="H179" s="2" t="n">
        <v>24</v>
      </c>
      <c r="I179" s="2" t="str">
        <f aca="true">IF(AND(G179&lt;&gt;"Done",E179&lt;TODAY()),"Overdue","")</f>
        <v>Overdue</v>
      </c>
    </row>
    <row r="180" customFormat="false" ht="15" hidden="false" customHeight="false" outlineLevel="0" collapsed="false">
      <c r="A180" s="2" t="n">
        <v>179</v>
      </c>
      <c r="B180" s="2" t="n">
        <v>8</v>
      </c>
      <c r="C180" s="2" t="s">
        <v>254</v>
      </c>
      <c r="D180" s="2" t="s">
        <v>57</v>
      </c>
      <c r="E180" s="8" t="n">
        <v>45910</v>
      </c>
      <c r="F180" s="8" t="n">
        <v>45913</v>
      </c>
      <c r="G180" s="2" t="s">
        <v>114</v>
      </c>
      <c r="H180" s="2" t="n">
        <v>8</v>
      </c>
      <c r="I180" s="2" t="str">
        <f aca="true">IF(AND(G180&lt;&gt;"Done",E180&lt;TODAY()),"Overdue","")</f>
        <v/>
      </c>
    </row>
    <row r="181" customFormat="false" ht="15" hidden="false" customHeight="false" outlineLevel="0" collapsed="false">
      <c r="A181" s="2" t="n">
        <v>180</v>
      </c>
      <c r="B181" s="2" t="n">
        <v>8</v>
      </c>
      <c r="C181" s="2" t="s">
        <v>255</v>
      </c>
      <c r="D181" s="2" t="s">
        <v>125</v>
      </c>
      <c r="E181" s="8" t="n">
        <v>45962</v>
      </c>
      <c r="F181" s="8" t="n">
        <v>45972</v>
      </c>
      <c r="G181" s="2" t="s">
        <v>114</v>
      </c>
      <c r="H181" s="2" t="n">
        <v>40</v>
      </c>
      <c r="I181" s="2" t="str">
        <f aca="true">IF(AND(G181&lt;&gt;"Done",E181&lt;TODAY()),"Overdue","")</f>
        <v/>
      </c>
    </row>
    <row r="182" customFormat="false" ht="15" hidden="false" customHeight="false" outlineLevel="0" collapsed="false">
      <c r="A182" s="2" t="n">
        <v>181</v>
      </c>
      <c r="B182" s="2" t="n">
        <v>8</v>
      </c>
      <c r="C182" s="2" t="s">
        <v>143</v>
      </c>
      <c r="D182" s="2" t="s">
        <v>160</v>
      </c>
      <c r="E182" s="8" t="n">
        <v>46027</v>
      </c>
      <c r="F182" s="8"/>
      <c r="G182" s="2" t="s">
        <v>48</v>
      </c>
      <c r="H182" s="2" t="n">
        <v>4</v>
      </c>
      <c r="I182" s="2" t="str">
        <f aca="true">IF(AND(G182&lt;&gt;"Done",E182&lt;TODAY()),"Overdue","")</f>
        <v>Overdue</v>
      </c>
    </row>
    <row r="183" customFormat="false" ht="15" hidden="false" customHeight="false" outlineLevel="0" collapsed="false">
      <c r="A183" s="2" t="n">
        <v>182</v>
      </c>
      <c r="B183" s="2" t="n">
        <v>8</v>
      </c>
      <c r="C183" s="2" t="s">
        <v>161</v>
      </c>
      <c r="D183" s="2" t="s">
        <v>107</v>
      </c>
      <c r="E183" s="8" t="n">
        <v>46071</v>
      </c>
      <c r="F183" s="8"/>
      <c r="G183" s="2" t="s">
        <v>88</v>
      </c>
      <c r="H183" s="2" t="n">
        <v>40</v>
      </c>
      <c r="I183" s="2" t="str">
        <f aca="true">IF(AND(G183&lt;&gt;"Done",E183&lt;TODAY()),"Overdue","")</f>
        <v>Overdue</v>
      </c>
    </row>
    <row r="184" customFormat="false" ht="15" hidden="false" customHeight="false" outlineLevel="0" collapsed="false">
      <c r="A184" s="2" t="n">
        <v>183</v>
      </c>
      <c r="B184" s="2" t="n">
        <v>8</v>
      </c>
      <c r="C184" s="2" t="s">
        <v>256</v>
      </c>
      <c r="D184" s="2" t="s">
        <v>111</v>
      </c>
      <c r="E184" s="8" t="n">
        <v>45947</v>
      </c>
      <c r="F184" s="8"/>
      <c r="G184" s="2" t="s">
        <v>48</v>
      </c>
      <c r="H184" s="2" t="n">
        <v>16</v>
      </c>
      <c r="I184" s="2" t="str">
        <f aca="true">IF(AND(G184&lt;&gt;"Done",E184&lt;TODAY()),"Overdue","")</f>
        <v>Overdue</v>
      </c>
    </row>
    <row r="185" customFormat="false" ht="15" hidden="false" customHeight="false" outlineLevel="0" collapsed="false">
      <c r="A185" s="2" t="n">
        <v>184</v>
      </c>
      <c r="B185" s="2" t="n">
        <v>8</v>
      </c>
      <c r="C185" s="2" t="s">
        <v>257</v>
      </c>
      <c r="D185" s="2" t="s">
        <v>144</v>
      </c>
      <c r="E185" s="8" t="n">
        <v>46008</v>
      </c>
      <c r="F185" s="8"/>
      <c r="G185" s="2" t="s">
        <v>48</v>
      </c>
      <c r="H185" s="2" t="n">
        <v>24</v>
      </c>
      <c r="I185" s="2" t="str">
        <f aca="true">IF(AND(G185&lt;&gt;"Done",E185&lt;TODAY()),"Overdue","")</f>
        <v>Overdue</v>
      </c>
    </row>
    <row r="186" customFormat="false" ht="15" hidden="false" customHeight="false" outlineLevel="0" collapsed="false">
      <c r="A186" s="2" t="n">
        <v>185</v>
      </c>
      <c r="B186" s="2" t="n">
        <v>8</v>
      </c>
      <c r="C186" s="2" t="s">
        <v>258</v>
      </c>
      <c r="D186" s="2" t="s">
        <v>204</v>
      </c>
      <c r="E186" s="8" t="n">
        <v>45972</v>
      </c>
      <c r="F186" s="8" t="n">
        <v>45976</v>
      </c>
      <c r="G186" s="2" t="s">
        <v>114</v>
      </c>
      <c r="H186" s="2" t="n">
        <v>4</v>
      </c>
      <c r="I186" s="2" t="str">
        <f aca="true">IF(AND(G186&lt;&gt;"Done",E186&lt;TODAY()),"Overdue","")</f>
        <v/>
      </c>
    </row>
    <row r="187" customFormat="false" ht="15" hidden="false" customHeight="false" outlineLevel="0" collapsed="false">
      <c r="A187" s="2" t="n">
        <v>186</v>
      </c>
      <c r="B187" s="2" t="n">
        <v>8</v>
      </c>
      <c r="C187" s="2" t="s">
        <v>259</v>
      </c>
      <c r="D187" s="2" t="s">
        <v>97</v>
      </c>
      <c r="E187" s="8" t="n">
        <v>45915</v>
      </c>
      <c r="F187" s="8" t="n">
        <v>45910</v>
      </c>
      <c r="G187" s="2" t="s">
        <v>114</v>
      </c>
      <c r="H187" s="2" t="n">
        <v>60</v>
      </c>
      <c r="I187" s="2" t="str">
        <f aca="true">IF(AND(G187&lt;&gt;"Done",E187&lt;TODAY()),"Overdue","")</f>
        <v/>
      </c>
    </row>
    <row r="188" customFormat="false" ht="15" hidden="false" customHeight="false" outlineLevel="0" collapsed="false">
      <c r="A188" s="2" t="n">
        <v>187</v>
      </c>
      <c r="B188" s="2" t="n">
        <v>8</v>
      </c>
      <c r="C188" s="2" t="s">
        <v>242</v>
      </c>
      <c r="D188" s="2" t="s">
        <v>146</v>
      </c>
      <c r="E188" s="8" t="n">
        <v>45987</v>
      </c>
      <c r="F188" s="8" t="n">
        <v>45997</v>
      </c>
      <c r="G188" s="2" t="s">
        <v>114</v>
      </c>
      <c r="H188" s="2" t="n">
        <v>40</v>
      </c>
      <c r="I188" s="2" t="str">
        <f aca="true">IF(AND(G188&lt;&gt;"Done",E188&lt;TODAY()),"Overdue","")</f>
        <v/>
      </c>
    </row>
    <row r="189" customFormat="false" ht="15" hidden="false" customHeight="false" outlineLevel="0" collapsed="false">
      <c r="A189" s="2" t="n">
        <v>188</v>
      </c>
      <c r="B189" s="2" t="n">
        <v>8</v>
      </c>
      <c r="C189" s="2" t="s">
        <v>260</v>
      </c>
      <c r="D189" s="2" t="s">
        <v>118</v>
      </c>
      <c r="E189" s="8" t="n">
        <v>45976</v>
      </c>
      <c r="F189" s="8" t="n">
        <v>45982</v>
      </c>
      <c r="G189" s="2" t="s">
        <v>114</v>
      </c>
      <c r="H189" s="2" t="n">
        <v>80</v>
      </c>
      <c r="I189" s="2" t="str">
        <f aca="true">IF(AND(G189&lt;&gt;"Done",E189&lt;TODAY()),"Overdue","")</f>
        <v/>
      </c>
    </row>
    <row r="190" customFormat="false" ht="15" hidden="false" customHeight="false" outlineLevel="0" collapsed="false">
      <c r="A190" s="2" t="n">
        <v>189</v>
      </c>
      <c r="B190" s="2" t="n">
        <v>8</v>
      </c>
      <c r="C190" s="2" t="s">
        <v>261</v>
      </c>
      <c r="D190" s="2" t="s">
        <v>103</v>
      </c>
      <c r="E190" s="8" t="n">
        <v>46000</v>
      </c>
      <c r="F190" s="8" t="n">
        <v>45994</v>
      </c>
      <c r="G190" s="2" t="s">
        <v>114</v>
      </c>
      <c r="H190" s="2" t="n">
        <v>16</v>
      </c>
      <c r="I190" s="2" t="str">
        <f aca="true">IF(AND(G190&lt;&gt;"Done",E190&lt;TODAY()),"Overdue","")</f>
        <v/>
      </c>
    </row>
    <row r="191" customFormat="false" ht="15" hidden="false" customHeight="false" outlineLevel="0" collapsed="false">
      <c r="A191" s="2" t="n">
        <v>190</v>
      </c>
      <c r="B191" s="2" t="n">
        <v>9</v>
      </c>
      <c r="C191" s="2" t="s">
        <v>218</v>
      </c>
      <c r="D191" s="2" t="s">
        <v>153</v>
      </c>
      <c r="E191" s="8" t="n">
        <v>46066</v>
      </c>
      <c r="F191" s="8"/>
      <c r="G191" s="2" t="s">
        <v>88</v>
      </c>
      <c r="H191" s="2" t="n">
        <v>80</v>
      </c>
      <c r="I191" s="2" t="str">
        <f aca="true">IF(AND(G191&lt;&gt;"Done",E191&lt;TODAY()),"Overdue","")</f>
        <v>Overdue</v>
      </c>
    </row>
    <row r="192" customFormat="false" ht="15" hidden="false" customHeight="false" outlineLevel="0" collapsed="false">
      <c r="A192" s="2" t="n">
        <v>191</v>
      </c>
      <c r="B192" s="2" t="n">
        <v>9</v>
      </c>
      <c r="C192" s="2" t="s">
        <v>262</v>
      </c>
      <c r="D192" s="2" t="s">
        <v>99</v>
      </c>
      <c r="E192" s="8" t="n">
        <v>45862</v>
      </c>
      <c r="F192" s="8"/>
      <c r="G192" s="2" t="s">
        <v>88</v>
      </c>
      <c r="H192" s="2" t="n">
        <v>80</v>
      </c>
      <c r="I192" s="2" t="str">
        <f aca="true">IF(AND(G192&lt;&gt;"Done",E192&lt;TODAY()),"Overdue","")</f>
        <v>Overdue</v>
      </c>
    </row>
    <row r="193" customFormat="false" ht="15" hidden="false" customHeight="false" outlineLevel="0" collapsed="false">
      <c r="A193" s="2" t="n">
        <v>192</v>
      </c>
      <c r="B193" s="2" t="n">
        <v>9</v>
      </c>
      <c r="C193" s="2" t="s">
        <v>197</v>
      </c>
      <c r="D193" s="2" t="s">
        <v>146</v>
      </c>
      <c r="E193" s="8" t="n">
        <v>45949</v>
      </c>
      <c r="F193" s="8"/>
      <c r="G193" s="2" t="s">
        <v>48</v>
      </c>
      <c r="H193" s="2" t="n">
        <v>80</v>
      </c>
      <c r="I193" s="2" t="str">
        <f aca="true">IF(AND(G193&lt;&gt;"Done",E193&lt;TODAY()),"Overdue","")</f>
        <v>Overdue</v>
      </c>
    </row>
    <row r="194" customFormat="false" ht="15" hidden="false" customHeight="false" outlineLevel="0" collapsed="false">
      <c r="A194" s="2" t="n">
        <v>193</v>
      </c>
      <c r="B194" s="2" t="n">
        <v>9</v>
      </c>
      <c r="C194" s="2" t="s">
        <v>212</v>
      </c>
      <c r="D194" s="2" t="s">
        <v>113</v>
      </c>
      <c r="E194" s="8" t="n">
        <v>45820</v>
      </c>
      <c r="F194" s="8"/>
      <c r="G194" s="2" t="s">
        <v>48</v>
      </c>
      <c r="H194" s="2" t="n">
        <v>16</v>
      </c>
      <c r="I194" s="2" t="str">
        <f aca="true">IF(AND(G194&lt;&gt;"Done",E194&lt;TODAY()),"Overdue","")</f>
        <v>Overdue</v>
      </c>
    </row>
    <row r="195" customFormat="false" ht="15" hidden="false" customHeight="false" outlineLevel="0" collapsed="false">
      <c r="A195" s="2" t="n">
        <v>194</v>
      </c>
      <c r="B195" s="2" t="n">
        <v>9</v>
      </c>
      <c r="C195" s="2" t="s">
        <v>263</v>
      </c>
      <c r="D195" s="2" t="s">
        <v>103</v>
      </c>
      <c r="E195" s="8" t="n">
        <v>45821</v>
      </c>
      <c r="F195" s="8"/>
      <c r="G195" s="2" t="s">
        <v>88</v>
      </c>
      <c r="H195" s="2" t="n">
        <v>16</v>
      </c>
      <c r="I195" s="2" t="str">
        <f aca="true">IF(AND(G195&lt;&gt;"Done",E195&lt;TODAY()),"Overdue","")</f>
        <v>Overdue</v>
      </c>
    </row>
    <row r="196" customFormat="false" ht="15" hidden="false" customHeight="false" outlineLevel="0" collapsed="false">
      <c r="A196" s="2" t="n">
        <v>195</v>
      </c>
      <c r="B196" s="2" t="n">
        <v>9</v>
      </c>
      <c r="C196" s="2" t="s">
        <v>225</v>
      </c>
      <c r="D196" s="2" t="s">
        <v>175</v>
      </c>
      <c r="E196" s="8" t="n">
        <v>45986</v>
      </c>
      <c r="F196" s="8"/>
      <c r="G196" s="2" t="s">
        <v>88</v>
      </c>
      <c r="H196" s="2" t="n">
        <v>60</v>
      </c>
      <c r="I196" s="2" t="str">
        <f aca="true">IF(AND(G196&lt;&gt;"Done",E196&lt;TODAY()),"Overdue","")</f>
        <v>Overdue</v>
      </c>
    </row>
    <row r="197" customFormat="false" ht="15" hidden="false" customHeight="false" outlineLevel="0" collapsed="false">
      <c r="A197" s="2" t="n">
        <v>196</v>
      </c>
      <c r="B197" s="2" t="n">
        <v>9</v>
      </c>
      <c r="C197" s="2" t="s">
        <v>264</v>
      </c>
      <c r="D197" s="2" t="s">
        <v>47</v>
      </c>
      <c r="E197" s="8" t="n">
        <v>46012</v>
      </c>
      <c r="F197" s="8"/>
      <c r="G197" s="2" t="s">
        <v>88</v>
      </c>
      <c r="H197" s="2" t="n">
        <v>4</v>
      </c>
      <c r="I197" s="2" t="str">
        <f aca="true">IF(AND(G197&lt;&gt;"Done",E197&lt;TODAY()),"Overdue","")</f>
        <v>Overdue</v>
      </c>
    </row>
    <row r="198" customFormat="false" ht="15" hidden="false" customHeight="false" outlineLevel="0" collapsed="false">
      <c r="A198" s="2" t="n">
        <v>197</v>
      </c>
      <c r="B198" s="2" t="n">
        <v>9</v>
      </c>
      <c r="C198" s="2" t="s">
        <v>265</v>
      </c>
      <c r="D198" s="2" t="s">
        <v>155</v>
      </c>
      <c r="E198" s="8" t="n">
        <v>46078</v>
      </c>
      <c r="F198" s="8"/>
      <c r="G198" s="2" t="s">
        <v>88</v>
      </c>
      <c r="H198" s="2" t="n">
        <v>8</v>
      </c>
      <c r="I198" s="2" t="str">
        <f aca="true">IF(AND(G198&lt;&gt;"Done",E198&lt;TODAY()),"Overdue","")</f>
        <v>Overdue</v>
      </c>
    </row>
    <row r="199" customFormat="false" ht="15" hidden="false" customHeight="false" outlineLevel="0" collapsed="false">
      <c r="A199" s="2" t="n">
        <v>198</v>
      </c>
      <c r="B199" s="2" t="n">
        <v>9</v>
      </c>
      <c r="C199" s="2" t="s">
        <v>112</v>
      </c>
      <c r="D199" s="2" t="s">
        <v>175</v>
      </c>
      <c r="E199" s="8" t="n">
        <v>45996</v>
      </c>
      <c r="F199" s="8"/>
      <c r="G199" s="2" t="s">
        <v>88</v>
      </c>
      <c r="H199" s="2" t="n">
        <v>40</v>
      </c>
      <c r="I199" s="2" t="str">
        <f aca="true">IF(AND(G199&lt;&gt;"Done",E199&lt;TODAY()),"Overdue","")</f>
        <v>Overdue</v>
      </c>
    </row>
    <row r="200" customFormat="false" ht="15" hidden="false" customHeight="false" outlineLevel="0" collapsed="false">
      <c r="A200" s="2" t="n">
        <v>199</v>
      </c>
      <c r="B200" s="2" t="n">
        <v>9</v>
      </c>
      <c r="C200" s="2" t="s">
        <v>141</v>
      </c>
      <c r="D200" s="2" t="s">
        <v>201</v>
      </c>
      <c r="E200" s="8" t="n">
        <v>45850</v>
      </c>
      <c r="F200" s="8" t="n">
        <v>45847</v>
      </c>
      <c r="G200" s="2" t="s">
        <v>114</v>
      </c>
      <c r="H200" s="2" t="n">
        <v>4</v>
      </c>
      <c r="I200" s="2" t="str">
        <f aca="true">IF(AND(G200&lt;&gt;"Done",E200&lt;TODAY()),"Overdue","")</f>
        <v/>
      </c>
    </row>
    <row r="201" customFormat="false" ht="15" hidden="false" customHeight="false" outlineLevel="0" collapsed="false">
      <c r="A201" s="2" t="n">
        <v>200</v>
      </c>
      <c r="B201" s="2" t="n">
        <v>9</v>
      </c>
      <c r="C201" s="2" t="s">
        <v>266</v>
      </c>
      <c r="D201" s="2" t="s">
        <v>267</v>
      </c>
      <c r="E201" s="8" t="n">
        <v>45848</v>
      </c>
      <c r="F201" s="8"/>
      <c r="G201" s="2" t="s">
        <v>88</v>
      </c>
      <c r="H201" s="2" t="n">
        <v>40</v>
      </c>
      <c r="I201" s="2" t="str">
        <f aca="true">IF(AND(G201&lt;&gt;"Done",E201&lt;TODAY()),"Overdue","")</f>
        <v>Overdue</v>
      </c>
    </row>
    <row r="202" customFormat="false" ht="15" hidden="false" customHeight="false" outlineLevel="0" collapsed="false">
      <c r="A202" s="2" t="n">
        <v>201</v>
      </c>
      <c r="B202" s="2" t="n">
        <v>9</v>
      </c>
      <c r="C202" s="2" t="s">
        <v>268</v>
      </c>
      <c r="D202" s="2" t="s">
        <v>135</v>
      </c>
      <c r="E202" s="8" t="n">
        <v>46033</v>
      </c>
      <c r="F202" s="8"/>
      <c r="G202" s="2" t="s">
        <v>88</v>
      </c>
      <c r="H202" s="2" t="n">
        <v>4</v>
      </c>
      <c r="I202" s="2" t="str">
        <f aca="true">IF(AND(G202&lt;&gt;"Done",E202&lt;TODAY()),"Overdue","")</f>
        <v>Overdue</v>
      </c>
    </row>
    <row r="203" customFormat="false" ht="15" hidden="false" customHeight="false" outlineLevel="0" collapsed="false">
      <c r="A203" s="2" t="n">
        <v>202</v>
      </c>
      <c r="B203" s="2" t="n">
        <v>9</v>
      </c>
      <c r="C203" s="2" t="s">
        <v>216</v>
      </c>
      <c r="D203" s="2" t="s">
        <v>138</v>
      </c>
      <c r="E203" s="8" t="n">
        <v>45983</v>
      </c>
      <c r="F203" s="8"/>
      <c r="G203" s="2" t="s">
        <v>88</v>
      </c>
      <c r="H203" s="2" t="n">
        <v>40</v>
      </c>
      <c r="I203" s="2" t="str">
        <f aca="true">IF(AND(G203&lt;&gt;"Done",E203&lt;TODAY()),"Overdue","")</f>
        <v>Overdue</v>
      </c>
    </row>
    <row r="204" customFormat="false" ht="15" hidden="false" customHeight="false" outlineLevel="0" collapsed="false">
      <c r="A204" s="2" t="n">
        <v>203</v>
      </c>
      <c r="B204" s="2" t="n">
        <v>9</v>
      </c>
      <c r="C204" s="2" t="s">
        <v>94</v>
      </c>
      <c r="D204" s="2" t="s">
        <v>153</v>
      </c>
      <c r="E204" s="8" t="n">
        <v>46056</v>
      </c>
      <c r="F204" s="8"/>
      <c r="G204" s="2" t="s">
        <v>48</v>
      </c>
      <c r="H204" s="2" t="n">
        <v>24</v>
      </c>
      <c r="I204" s="2" t="str">
        <f aca="true">IF(AND(G204&lt;&gt;"Done",E204&lt;TODAY()),"Overdue","")</f>
        <v>Overdue</v>
      </c>
    </row>
    <row r="205" customFormat="false" ht="15" hidden="false" customHeight="false" outlineLevel="0" collapsed="false">
      <c r="A205" s="2" t="n">
        <v>204</v>
      </c>
      <c r="B205" s="2" t="n">
        <v>9</v>
      </c>
      <c r="C205" s="2" t="s">
        <v>150</v>
      </c>
      <c r="D205" s="2" t="s">
        <v>107</v>
      </c>
      <c r="E205" s="8" t="n">
        <v>45835</v>
      </c>
      <c r="F205" s="8"/>
      <c r="G205" s="2" t="s">
        <v>88</v>
      </c>
      <c r="H205" s="2" t="n">
        <v>8</v>
      </c>
      <c r="I205" s="2" t="str">
        <f aca="true">IF(AND(G205&lt;&gt;"Done",E205&lt;TODAY()),"Overdue","")</f>
        <v>Overdue</v>
      </c>
    </row>
    <row r="206" customFormat="false" ht="15" hidden="false" customHeight="false" outlineLevel="0" collapsed="false">
      <c r="A206" s="2" t="n">
        <v>205</v>
      </c>
      <c r="B206" s="2" t="n">
        <v>9</v>
      </c>
      <c r="C206" s="2" t="s">
        <v>269</v>
      </c>
      <c r="D206" s="2" t="s">
        <v>267</v>
      </c>
      <c r="E206" s="8" t="n">
        <v>45937</v>
      </c>
      <c r="F206" s="8"/>
      <c r="G206" s="2" t="s">
        <v>88</v>
      </c>
      <c r="H206" s="2" t="n">
        <v>60</v>
      </c>
      <c r="I206" s="2" t="str">
        <f aca="true">IF(AND(G206&lt;&gt;"Done",E206&lt;TODAY()),"Overdue","")</f>
        <v>Overdue</v>
      </c>
    </row>
    <row r="207" customFormat="false" ht="15" hidden="false" customHeight="false" outlineLevel="0" collapsed="false">
      <c r="A207" s="2" t="n">
        <v>206</v>
      </c>
      <c r="B207" s="2" t="n">
        <v>9</v>
      </c>
      <c r="C207" s="2" t="s">
        <v>270</v>
      </c>
      <c r="D207" s="2" t="s">
        <v>51</v>
      </c>
      <c r="E207" s="8" t="n">
        <v>46027</v>
      </c>
      <c r="F207" s="8"/>
      <c r="G207" s="2" t="s">
        <v>88</v>
      </c>
      <c r="H207" s="2" t="n">
        <v>8</v>
      </c>
      <c r="I207" s="2" t="str">
        <f aca="true">IF(AND(G207&lt;&gt;"Done",E207&lt;TODAY()),"Overdue","")</f>
        <v>Overdue</v>
      </c>
    </row>
    <row r="208" customFormat="false" ht="15" hidden="false" customHeight="false" outlineLevel="0" collapsed="false">
      <c r="A208" s="2" t="n">
        <v>207</v>
      </c>
      <c r="B208" s="2" t="n">
        <v>9</v>
      </c>
      <c r="C208" s="2" t="s">
        <v>271</v>
      </c>
      <c r="D208" s="2" t="s">
        <v>105</v>
      </c>
      <c r="E208" s="8" t="n">
        <v>46063</v>
      </c>
      <c r="F208" s="8"/>
      <c r="G208" s="2" t="s">
        <v>48</v>
      </c>
      <c r="H208" s="2" t="n">
        <v>4</v>
      </c>
      <c r="I208" s="2" t="str">
        <f aca="true">IF(AND(G208&lt;&gt;"Done",E208&lt;TODAY()),"Overdue","")</f>
        <v>Overdue</v>
      </c>
    </row>
    <row r="209" customFormat="false" ht="15" hidden="false" customHeight="false" outlineLevel="0" collapsed="false">
      <c r="A209" s="2" t="n">
        <v>208</v>
      </c>
      <c r="B209" s="2" t="n">
        <v>10</v>
      </c>
      <c r="C209" s="2" t="s">
        <v>272</v>
      </c>
      <c r="D209" s="2" t="s">
        <v>144</v>
      </c>
      <c r="E209" s="8" t="n">
        <v>45950</v>
      </c>
      <c r="F209" s="8" t="n">
        <v>45957</v>
      </c>
      <c r="G209" s="2" t="s">
        <v>114</v>
      </c>
      <c r="H209" s="2" t="n">
        <v>40</v>
      </c>
      <c r="I209" s="2" t="str">
        <f aca="true">IF(AND(G209&lt;&gt;"Done",E209&lt;TODAY()),"Overdue","")</f>
        <v/>
      </c>
    </row>
    <row r="210" customFormat="false" ht="15" hidden="false" customHeight="false" outlineLevel="0" collapsed="false">
      <c r="A210" s="2" t="n">
        <v>209</v>
      </c>
      <c r="B210" s="2" t="n">
        <v>10</v>
      </c>
      <c r="C210" s="2" t="s">
        <v>273</v>
      </c>
      <c r="D210" s="2" t="s">
        <v>162</v>
      </c>
      <c r="E210" s="8" t="n">
        <v>46049</v>
      </c>
      <c r="F210" s="8" t="n">
        <v>46055</v>
      </c>
      <c r="G210" s="2" t="s">
        <v>114</v>
      </c>
      <c r="H210" s="2" t="n">
        <v>4</v>
      </c>
      <c r="I210" s="2" t="str">
        <f aca="true">IF(AND(G210&lt;&gt;"Done",E210&lt;TODAY()),"Overdue","")</f>
        <v/>
      </c>
    </row>
    <row r="211" customFormat="false" ht="15" hidden="false" customHeight="false" outlineLevel="0" collapsed="false">
      <c r="A211" s="2" t="n">
        <v>210</v>
      </c>
      <c r="B211" s="2" t="n">
        <v>10</v>
      </c>
      <c r="C211" s="2" t="s">
        <v>274</v>
      </c>
      <c r="D211" s="2" t="s">
        <v>113</v>
      </c>
      <c r="E211" s="8" t="n">
        <v>46023</v>
      </c>
      <c r="F211" s="8"/>
      <c r="G211" s="2" t="s">
        <v>88</v>
      </c>
      <c r="H211" s="2" t="n">
        <v>16</v>
      </c>
      <c r="I211" s="2" t="str">
        <f aca="true">IF(AND(G211&lt;&gt;"Done",E211&lt;TODAY()),"Overdue","")</f>
        <v>Overdue</v>
      </c>
    </row>
    <row r="212" customFormat="false" ht="15" hidden="false" customHeight="false" outlineLevel="0" collapsed="false">
      <c r="A212" s="2" t="n">
        <v>211</v>
      </c>
      <c r="B212" s="2" t="n">
        <v>10</v>
      </c>
      <c r="C212" s="2" t="s">
        <v>275</v>
      </c>
      <c r="D212" s="2" t="s">
        <v>121</v>
      </c>
      <c r="E212" s="8" t="n">
        <v>45962</v>
      </c>
      <c r="F212" s="8" t="n">
        <v>45958</v>
      </c>
      <c r="G212" s="2" t="s">
        <v>114</v>
      </c>
      <c r="H212" s="2" t="n">
        <v>24</v>
      </c>
      <c r="I212" s="2" t="str">
        <f aca="true">IF(AND(G212&lt;&gt;"Done",E212&lt;TODAY()),"Overdue","")</f>
        <v/>
      </c>
    </row>
    <row r="213" customFormat="false" ht="15" hidden="false" customHeight="false" outlineLevel="0" collapsed="false">
      <c r="A213" s="2" t="n">
        <v>212</v>
      </c>
      <c r="B213" s="2" t="n">
        <v>10</v>
      </c>
      <c r="C213" s="2" t="s">
        <v>276</v>
      </c>
      <c r="D213" s="2" t="s">
        <v>97</v>
      </c>
      <c r="E213" s="8" t="n">
        <v>46074</v>
      </c>
      <c r="F213" s="8"/>
      <c r="G213" s="2" t="s">
        <v>88</v>
      </c>
      <c r="H213" s="2" t="n">
        <v>16</v>
      </c>
      <c r="I213" s="2" t="str">
        <f aca="true">IF(AND(G213&lt;&gt;"Done",E213&lt;TODAY()),"Overdue","")</f>
        <v>Overdue</v>
      </c>
    </row>
    <row r="214" customFormat="false" ht="15" hidden="false" customHeight="false" outlineLevel="0" collapsed="false">
      <c r="A214" s="2" t="n">
        <v>213</v>
      </c>
      <c r="B214" s="2" t="n">
        <v>10</v>
      </c>
      <c r="C214" s="2" t="s">
        <v>277</v>
      </c>
      <c r="D214" s="2" t="s">
        <v>92</v>
      </c>
      <c r="E214" s="8" t="n">
        <v>45996</v>
      </c>
      <c r="F214" s="8" t="n">
        <v>45994</v>
      </c>
      <c r="G214" s="2" t="s">
        <v>114</v>
      </c>
      <c r="H214" s="2" t="n">
        <v>4</v>
      </c>
      <c r="I214" s="2" t="str">
        <f aca="true">IF(AND(G214&lt;&gt;"Done",E214&lt;TODAY()),"Overdue","")</f>
        <v/>
      </c>
    </row>
    <row r="215" customFormat="false" ht="15" hidden="false" customHeight="false" outlineLevel="0" collapsed="false">
      <c r="A215" s="2" t="n">
        <v>214</v>
      </c>
      <c r="B215" s="2" t="n">
        <v>10</v>
      </c>
      <c r="C215" s="2" t="s">
        <v>186</v>
      </c>
      <c r="D215" s="2" t="s">
        <v>165</v>
      </c>
      <c r="E215" s="8" t="n">
        <v>46075</v>
      </c>
      <c r="F215" s="8" t="n">
        <v>46079</v>
      </c>
      <c r="G215" s="2" t="s">
        <v>114</v>
      </c>
      <c r="H215" s="2" t="n">
        <v>80</v>
      </c>
      <c r="I215" s="2" t="str">
        <f aca="true">IF(AND(G215&lt;&gt;"Done",E215&lt;TODAY()),"Overdue","")</f>
        <v/>
      </c>
    </row>
    <row r="216" customFormat="false" ht="15" hidden="false" customHeight="false" outlineLevel="0" collapsed="false">
      <c r="A216" s="2" t="n">
        <v>215</v>
      </c>
      <c r="B216" s="2" t="n">
        <v>10</v>
      </c>
      <c r="C216" s="2" t="s">
        <v>89</v>
      </c>
      <c r="D216" s="2" t="s">
        <v>131</v>
      </c>
      <c r="E216" s="8" t="n">
        <v>45977</v>
      </c>
      <c r="F216" s="8"/>
      <c r="G216" s="2" t="s">
        <v>48</v>
      </c>
      <c r="H216" s="2" t="n">
        <v>8</v>
      </c>
      <c r="I216" s="2" t="str">
        <f aca="true">IF(AND(G216&lt;&gt;"Done",E216&lt;TODAY()),"Overdue","")</f>
        <v>Overdue</v>
      </c>
    </row>
    <row r="217" customFormat="false" ht="15" hidden="false" customHeight="false" outlineLevel="0" collapsed="false">
      <c r="A217" s="2" t="n">
        <v>216</v>
      </c>
      <c r="B217" s="2" t="n">
        <v>10</v>
      </c>
      <c r="C217" s="2" t="s">
        <v>234</v>
      </c>
      <c r="D217" s="2" t="s">
        <v>57</v>
      </c>
      <c r="E217" s="8" t="n">
        <v>46094</v>
      </c>
      <c r="F217" s="8"/>
      <c r="G217" s="2" t="s">
        <v>88</v>
      </c>
      <c r="H217" s="2" t="n">
        <v>8</v>
      </c>
      <c r="I217" s="2" t="str">
        <f aca="true">IF(AND(G217&lt;&gt;"Done",E217&lt;TODAY()),"Overdue","")</f>
        <v>Overdue</v>
      </c>
    </row>
    <row r="218" customFormat="false" ht="15" hidden="false" customHeight="false" outlineLevel="0" collapsed="false">
      <c r="A218" s="2" t="n">
        <v>217</v>
      </c>
      <c r="B218" s="2" t="n">
        <v>10</v>
      </c>
      <c r="C218" s="2" t="s">
        <v>233</v>
      </c>
      <c r="D218" s="2" t="s">
        <v>175</v>
      </c>
      <c r="E218" s="8" t="n">
        <v>46100</v>
      </c>
      <c r="F218" s="8" t="n">
        <v>46107</v>
      </c>
      <c r="G218" s="2" t="s">
        <v>114</v>
      </c>
      <c r="H218" s="2" t="n">
        <v>60</v>
      </c>
      <c r="I218" s="2" t="str">
        <f aca="true">IF(AND(G218&lt;&gt;"Done",E218&lt;TODAY()),"Overdue","")</f>
        <v/>
      </c>
    </row>
    <row r="219" customFormat="false" ht="15" hidden="false" customHeight="false" outlineLevel="0" collapsed="false">
      <c r="A219" s="2" t="n">
        <v>218</v>
      </c>
      <c r="B219" s="2" t="n">
        <v>10</v>
      </c>
      <c r="C219" s="2" t="s">
        <v>260</v>
      </c>
      <c r="D219" s="2" t="s">
        <v>92</v>
      </c>
      <c r="E219" s="8" t="n">
        <v>46102</v>
      </c>
      <c r="F219" s="8"/>
      <c r="G219" s="2" t="s">
        <v>101</v>
      </c>
      <c r="H219" s="2" t="n">
        <v>16</v>
      </c>
      <c r="I219" s="2" t="str">
        <f aca="true">IF(AND(G219&lt;&gt;"Done",E219&lt;TODAY()),"Overdue","")</f>
        <v>Overdue</v>
      </c>
    </row>
    <row r="220" customFormat="false" ht="15" hidden="false" customHeight="false" outlineLevel="0" collapsed="false">
      <c r="A220" s="2" t="n">
        <v>219</v>
      </c>
      <c r="B220" s="2" t="n">
        <v>10</v>
      </c>
      <c r="C220" s="2" t="s">
        <v>149</v>
      </c>
      <c r="D220" s="2" t="s">
        <v>103</v>
      </c>
      <c r="E220" s="8" t="n">
        <v>45978</v>
      </c>
      <c r="F220" s="8" t="n">
        <v>45986</v>
      </c>
      <c r="G220" s="2" t="s">
        <v>114</v>
      </c>
      <c r="H220" s="2" t="n">
        <v>80</v>
      </c>
      <c r="I220" s="2" t="str">
        <f aca="true">IF(AND(G220&lt;&gt;"Done",E220&lt;TODAY()),"Overdue","")</f>
        <v/>
      </c>
    </row>
    <row r="221" customFormat="false" ht="15" hidden="false" customHeight="false" outlineLevel="0" collapsed="false">
      <c r="A221" s="2" t="n">
        <v>220</v>
      </c>
      <c r="B221" s="2" t="n">
        <v>10</v>
      </c>
      <c r="C221" s="2" t="s">
        <v>124</v>
      </c>
      <c r="D221" s="2" t="s">
        <v>103</v>
      </c>
      <c r="E221" s="8" t="n">
        <v>46010</v>
      </c>
      <c r="F221" s="8" t="n">
        <v>46014</v>
      </c>
      <c r="G221" s="2" t="s">
        <v>114</v>
      </c>
      <c r="H221" s="2" t="n">
        <v>24</v>
      </c>
      <c r="I221" s="2" t="str">
        <f aca="true">IF(AND(G221&lt;&gt;"Done",E221&lt;TODAY()),"Overdue","")</f>
        <v/>
      </c>
    </row>
    <row r="222" customFormat="false" ht="15" hidden="false" customHeight="false" outlineLevel="0" collapsed="false">
      <c r="A222" s="2" t="n">
        <v>221</v>
      </c>
      <c r="B222" s="2" t="n">
        <v>10</v>
      </c>
      <c r="C222" s="2" t="s">
        <v>260</v>
      </c>
      <c r="D222" s="2" t="s">
        <v>90</v>
      </c>
      <c r="E222" s="8" t="n">
        <v>46055</v>
      </c>
      <c r="F222" s="8"/>
      <c r="G222" s="2" t="s">
        <v>88</v>
      </c>
      <c r="H222" s="2" t="n">
        <v>4</v>
      </c>
      <c r="I222" s="2" t="str">
        <f aca="true">IF(AND(G222&lt;&gt;"Done",E222&lt;TODAY()),"Overdue","")</f>
        <v>Overdue</v>
      </c>
    </row>
    <row r="223" customFormat="false" ht="15" hidden="false" customHeight="false" outlineLevel="0" collapsed="false">
      <c r="A223" s="2" t="n">
        <v>222</v>
      </c>
      <c r="B223" s="2" t="n">
        <v>10</v>
      </c>
      <c r="C223" s="2" t="s">
        <v>132</v>
      </c>
      <c r="D223" s="2" t="s">
        <v>135</v>
      </c>
      <c r="E223" s="8" t="n">
        <v>46105</v>
      </c>
      <c r="F223" s="8" t="n">
        <v>46100</v>
      </c>
      <c r="G223" s="2" t="s">
        <v>114</v>
      </c>
      <c r="H223" s="2" t="n">
        <v>24</v>
      </c>
      <c r="I223" s="2" t="str">
        <f aca="true">IF(AND(G223&lt;&gt;"Done",E223&lt;TODAY()),"Overdue","")</f>
        <v/>
      </c>
    </row>
    <row r="224" customFormat="false" ht="15" hidden="false" customHeight="false" outlineLevel="0" collapsed="false">
      <c r="A224" s="2" t="n">
        <v>223</v>
      </c>
      <c r="B224" s="2" t="n">
        <v>10</v>
      </c>
      <c r="C224" s="2" t="s">
        <v>199</v>
      </c>
      <c r="D224" s="2" t="s">
        <v>175</v>
      </c>
      <c r="E224" s="8" t="n">
        <v>46058</v>
      </c>
      <c r="F224" s="8" t="n">
        <v>46052</v>
      </c>
      <c r="G224" s="2" t="s">
        <v>114</v>
      </c>
      <c r="H224" s="2" t="n">
        <v>60</v>
      </c>
      <c r="I224" s="2" t="str">
        <f aca="true">IF(AND(G224&lt;&gt;"Done",E224&lt;TODAY()),"Overdue","")</f>
        <v/>
      </c>
    </row>
    <row r="225" customFormat="false" ht="15" hidden="false" customHeight="false" outlineLevel="0" collapsed="false">
      <c r="A225" s="2" t="n">
        <v>224</v>
      </c>
      <c r="B225" s="2" t="n">
        <v>10</v>
      </c>
      <c r="C225" s="2" t="s">
        <v>130</v>
      </c>
      <c r="D225" s="2" t="s">
        <v>66</v>
      </c>
      <c r="E225" s="8" t="n">
        <v>45988</v>
      </c>
      <c r="F225" s="8" t="n">
        <v>45996</v>
      </c>
      <c r="G225" s="2" t="s">
        <v>114</v>
      </c>
      <c r="H225" s="2" t="n">
        <v>24</v>
      </c>
      <c r="I225" s="2" t="str">
        <f aca="true">IF(AND(G225&lt;&gt;"Done",E225&lt;TODAY()),"Overdue","")</f>
        <v/>
      </c>
    </row>
    <row r="226" customFormat="false" ht="15" hidden="false" customHeight="false" outlineLevel="0" collapsed="false">
      <c r="A226" s="2" t="n">
        <v>225</v>
      </c>
      <c r="B226" s="2" t="n">
        <v>10</v>
      </c>
      <c r="C226" s="2" t="s">
        <v>257</v>
      </c>
      <c r="D226" s="2" t="s">
        <v>135</v>
      </c>
      <c r="E226" s="8" t="n">
        <v>45966</v>
      </c>
      <c r="F226" s="8" t="n">
        <v>45969</v>
      </c>
      <c r="G226" s="2" t="s">
        <v>114</v>
      </c>
      <c r="H226" s="2" t="n">
        <v>60</v>
      </c>
      <c r="I226" s="2" t="str">
        <f aca="true">IF(AND(G226&lt;&gt;"Done",E226&lt;TODAY()),"Overdue","")</f>
        <v/>
      </c>
    </row>
    <row r="227" customFormat="false" ht="15" hidden="false" customHeight="false" outlineLevel="0" collapsed="false">
      <c r="A227" s="2" t="n">
        <v>226</v>
      </c>
      <c r="B227" s="2" t="n">
        <v>10</v>
      </c>
      <c r="C227" s="2" t="s">
        <v>227</v>
      </c>
      <c r="D227" s="2" t="s">
        <v>194</v>
      </c>
      <c r="E227" s="8" t="n">
        <v>45984</v>
      </c>
      <c r="F227" s="8"/>
      <c r="G227" s="2" t="s">
        <v>88</v>
      </c>
      <c r="H227" s="2" t="n">
        <v>40</v>
      </c>
      <c r="I227" s="2" t="str">
        <f aca="true">IF(AND(G227&lt;&gt;"Done",E227&lt;TODAY()),"Overdue","")</f>
        <v>Overdue</v>
      </c>
    </row>
    <row r="228" customFormat="false" ht="15" hidden="false" customHeight="false" outlineLevel="0" collapsed="false">
      <c r="A228" s="2" t="n">
        <v>227</v>
      </c>
      <c r="B228" s="2" t="n">
        <v>10</v>
      </c>
      <c r="C228" s="2" t="s">
        <v>278</v>
      </c>
      <c r="D228" s="2" t="s">
        <v>90</v>
      </c>
      <c r="E228" s="8" t="n">
        <v>46073</v>
      </c>
      <c r="F228" s="8" t="n">
        <v>46077</v>
      </c>
      <c r="G228" s="2" t="s">
        <v>114</v>
      </c>
      <c r="H228" s="2" t="n">
        <v>24</v>
      </c>
      <c r="I228" s="2" t="str">
        <f aca="true">IF(AND(G228&lt;&gt;"Done",E228&lt;TODAY()),"Overdue","")</f>
        <v/>
      </c>
    </row>
    <row r="229" customFormat="false" ht="15" hidden="false" customHeight="false" outlineLevel="0" collapsed="false">
      <c r="A229" s="2" t="n">
        <v>228</v>
      </c>
      <c r="B229" s="2" t="n">
        <v>10</v>
      </c>
      <c r="C229" s="2" t="s">
        <v>234</v>
      </c>
      <c r="D229" s="2" t="s">
        <v>165</v>
      </c>
      <c r="E229" s="8" t="n">
        <v>46044</v>
      </c>
      <c r="F229" s="8" t="n">
        <v>46038</v>
      </c>
      <c r="G229" s="2" t="s">
        <v>114</v>
      </c>
      <c r="H229" s="2" t="n">
        <v>16</v>
      </c>
      <c r="I229" s="2" t="str">
        <f aca="true">IF(AND(G229&lt;&gt;"Done",E229&lt;TODAY()),"Overdue","")</f>
        <v/>
      </c>
    </row>
    <row r="230" customFormat="false" ht="15" hidden="false" customHeight="false" outlineLevel="0" collapsed="false">
      <c r="A230" s="2" t="n">
        <v>229</v>
      </c>
      <c r="B230" s="2" t="n">
        <v>10</v>
      </c>
      <c r="C230" s="2" t="s">
        <v>266</v>
      </c>
      <c r="D230" s="2" t="s">
        <v>90</v>
      </c>
      <c r="E230" s="8" t="n">
        <v>45956</v>
      </c>
      <c r="F230" s="8" t="n">
        <v>45966</v>
      </c>
      <c r="G230" s="2" t="s">
        <v>114</v>
      </c>
      <c r="H230" s="2" t="n">
        <v>16</v>
      </c>
      <c r="I230" s="2" t="str">
        <f aca="true">IF(AND(G230&lt;&gt;"Done",E230&lt;TODAY()),"Overdue","")</f>
        <v/>
      </c>
    </row>
    <row r="231" customFormat="false" ht="15" hidden="false" customHeight="false" outlineLevel="0" collapsed="false">
      <c r="A231" s="2" t="n">
        <v>230</v>
      </c>
      <c r="B231" s="2" t="n">
        <v>10</v>
      </c>
      <c r="C231" s="2" t="s">
        <v>279</v>
      </c>
      <c r="D231" s="2" t="s">
        <v>222</v>
      </c>
      <c r="E231" s="8" t="n">
        <v>46108</v>
      </c>
      <c r="F231" s="8"/>
      <c r="G231" s="2" t="s">
        <v>101</v>
      </c>
      <c r="H231" s="2" t="n">
        <v>16</v>
      </c>
      <c r="I231" s="2" t="str">
        <f aca="true">IF(AND(G231&lt;&gt;"Done",E231&lt;TODAY()),"Overdue","")</f>
        <v>Overdue</v>
      </c>
    </row>
    <row r="232" customFormat="false" ht="15" hidden="false" customHeight="false" outlineLevel="0" collapsed="false">
      <c r="A232" s="2" t="n">
        <v>231</v>
      </c>
      <c r="B232" s="2" t="n">
        <v>10</v>
      </c>
      <c r="C232" s="2" t="s">
        <v>280</v>
      </c>
      <c r="D232" s="2" t="s">
        <v>103</v>
      </c>
      <c r="E232" s="8" t="n">
        <v>45960</v>
      </c>
      <c r="F232" s="8" t="n">
        <v>45957</v>
      </c>
      <c r="G232" s="2" t="s">
        <v>114</v>
      </c>
      <c r="H232" s="2" t="n">
        <v>60</v>
      </c>
      <c r="I232" s="2" t="str">
        <f aca="true">IF(AND(G232&lt;&gt;"Done",E232&lt;TODAY()),"Overdue","")</f>
        <v/>
      </c>
    </row>
    <row r="233" customFormat="false" ht="15" hidden="false" customHeight="false" outlineLevel="0" collapsed="false">
      <c r="A233" s="2" t="n">
        <v>232</v>
      </c>
      <c r="B233" s="2" t="n">
        <v>10</v>
      </c>
      <c r="C233" s="2" t="s">
        <v>257</v>
      </c>
      <c r="D233" s="2" t="s">
        <v>103</v>
      </c>
      <c r="E233" s="8" t="n">
        <v>46040</v>
      </c>
      <c r="F233" s="8"/>
      <c r="G233" s="2" t="s">
        <v>88</v>
      </c>
      <c r="H233" s="2" t="n">
        <v>40</v>
      </c>
      <c r="I233" s="2" t="str">
        <f aca="true">IF(AND(G233&lt;&gt;"Done",E233&lt;TODAY()),"Overdue","")</f>
        <v>Overdue</v>
      </c>
    </row>
    <row r="234" customFormat="false" ht="15" hidden="false" customHeight="false" outlineLevel="0" collapsed="false">
      <c r="A234" s="2" t="n">
        <v>233</v>
      </c>
      <c r="B234" s="2" t="n">
        <v>10</v>
      </c>
      <c r="C234" s="2" t="s">
        <v>225</v>
      </c>
      <c r="D234" s="2" t="s">
        <v>118</v>
      </c>
      <c r="E234" s="8" t="n">
        <v>46036</v>
      </c>
      <c r="F234" s="8" t="n">
        <v>46039</v>
      </c>
      <c r="G234" s="2" t="s">
        <v>114</v>
      </c>
      <c r="H234" s="2" t="n">
        <v>60</v>
      </c>
      <c r="I234" s="2" t="str">
        <f aca="true">IF(AND(G234&lt;&gt;"Done",E234&lt;TODAY()),"Overdue","")</f>
        <v/>
      </c>
    </row>
    <row r="235" customFormat="false" ht="15" hidden="false" customHeight="false" outlineLevel="0" collapsed="false">
      <c r="A235" s="2" t="n">
        <v>234</v>
      </c>
      <c r="B235" s="2" t="n">
        <v>10</v>
      </c>
      <c r="C235" s="2" t="s">
        <v>266</v>
      </c>
      <c r="D235" s="2" t="s">
        <v>135</v>
      </c>
      <c r="E235" s="8" t="n">
        <v>46074</v>
      </c>
      <c r="F235" s="8"/>
      <c r="G235" s="2" t="s">
        <v>88</v>
      </c>
      <c r="H235" s="2" t="n">
        <v>16</v>
      </c>
      <c r="I235" s="2" t="str">
        <f aca="true">IF(AND(G235&lt;&gt;"Done",E235&lt;TODAY()),"Overdue","")</f>
        <v>Overdue</v>
      </c>
    </row>
    <row r="236" customFormat="false" ht="15" hidden="false" customHeight="false" outlineLevel="0" collapsed="false">
      <c r="A236" s="2" t="n">
        <v>235</v>
      </c>
      <c r="B236" s="2" t="n">
        <v>11</v>
      </c>
      <c r="C236" s="2" t="s">
        <v>281</v>
      </c>
      <c r="D236" s="2" t="s">
        <v>107</v>
      </c>
      <c r="E236" s="8" t="n">
        <v>46023</v>
      </c>
      <c r="F236" s="8"/>
      <c r="G236" s="2" t="s">
        <v>88</v>
      </c>
      <c r="H236" s="2" t="n">
        <v>24</v>
      </c>
      <c r="I236" s="2" t="str">
        <f aca="true">IF(AND(G236&lt;&gt;"Done",E236&lt;TODAY()),"Overdue","")</f>
        <v>Overdue</v>
      </c>
    </row>
    <row r="237" customFormat="false" ht="15" hidden="false" customHeight="false" outlineLevel="0" collapsed="false">
      <c r="A237" s="2" t="n">
        <v>236</v>
      </c>
      <c r="B237" s="2" t="n">
        <v>11</v>
      </c>
      <c r="C237" s="2" t="s">
        <v>152</v>
      </c>
      <c r="D237" s="2" t="s">
        <v>57</v>
      </c>
      <c r="E237" s="8" t="n">
        <v>45980</v>
      </c>
      <c r="F237" s="8"/>
      <c r="G237" s="2" t="s">
        <v>88</v>
      </c>
      <c r="H237" s="2" t="n">
        <v>16</v>
      </c>
      <c r="I237" s="2" t="str">
        <f aca="true">IF(AND(G237&lt;&gt;"Done",E237&lt;TODAY()),"Overdue","")</f>
        <v>Overdue</v>
      </c>
    </row>
    <row r="238" customFormat="false" ht="15" hidden="false" customHeight="false" outlineLevel="0" collapsed="false">
      <c r="A238" s="2" t="n">
        <v>237</v>
      </c>
      <c r="B238" s="2" t="n">
        <v>11</v>
      </c>
      <c r="C238" s="2" t="s">
        <v>282</v>
      </c>
      <c r="D238" s="2" t="s">
        <v>97</v>
      </c>
      <c r="E238" s="8" t="n">
        <v>45956</v>
      </c>
      <c r="F238" s="8"/>
      <c r="G238" s="2" t="s">
        <v>48</v>
      </c>
      <c r="H238" s="2" t="n">
        <v>40</v>
      </c>
      <c r="I238" s="2" t="str">
        <f aca="true">IF(AND(G238&lt;&gt;"Done",E238&lt;TODAY()),"Overdue","")</f>
        <v>Overdue</v>
      </c>
    </row>
    <row r="239" customFormat="false" ht="15" hidden="false" customHeight="false" outlineLevel="0" collapsed="false">
      <c r="A239" s="2" t="n">
        <v>238</v>
      </c>
      <c r="B239" s="2" t="n">
        <v>11</v>
      </c>
      <c r="C239" s="2" t="s">
        <v>283</v>
      </c>
      <c r="D239" s="2" t="s">
        <v>201</v>
      </c>
      <c r="E239" s="8" t="n">
        <v>45940</v>
      </c>
      <c r="F239" s="8"/>
      <c r="G239" s="2" t="s">
        <v>48</v>
      </c>
      <c r="H239" s="2" t="n">
        <v>8</v>
      </c>
      <c r="I239" s="2" t="str">
        <f aca="true">IF(AND(G239&lt;&gt;"Done",E239&lt;TODAY()),"Overdue","")</f>
        <v>Overdue</v>
      </c>
    </row>
    <row r="240" customFormat="false" ht="15" hidden="false" customHeight="false" outlineLevel="0" collapsed="false">
      <c r="A240" s="2" t="n">
        <v>239</v>
      </c>
      <c r="B240" s="2" t="n">
        <v>11</v>
      </c>
      <c r="C240" s="2" t="s">
        <v>284</v>
      </c>
      <c r="D240" s="2" t="s">
        <v>113</v>
      </c>
      <c r="E240" s="8" t="n">
        <v>46027</v>
      </c>
      <c r="F240" s="8"/>
      <c r="G240" s="2" t="s">
        <v>88</v>
      </c>
      <c r="H240" s="2" t="n">
        <v>80</v>
      </c>
      <c r="I240" s="2" t="str">
        <f aca="true">IF(AND(G240&lt;&gt;"Done",E240&lt;TODAY()),"Overdue","")</f>
        <v>Overdue</v>
      </c>
    </row>
    <row r="241" customFormat="false" ht="15" hidden="false" customHeight="false" outlineLevel="0" collapsed="false">
      <c r="A241" s="2" t="n">
        <v>240</v>
      </c>
      <c r="B241" s="2" t="n">
        <v>11</v>
      </c>
      <c r="C241" s="2" t="s">
        <v>285</v>
      </c>
      <c r="D241" s="2" t="s">
        <v>100</v>
      </c>
      <c r="E241" s="8" t="n">
        <v>45973</v>
      </c>
      <c r="F241" s="8"/>
      <c r="G241" s="2" t="s">
        <v>48</v>
      </c>
      <c r="H241" s="2" t="n">
        <v>60</v>
      </c>
      <c r="I241" s="2" t="str">
        <f aca="true">IF(AND(G241&lt;&gt;"Done",E241&lt;TODAY()),"Overdue","")</f>
        <v>Overdue</v>
      </c>
    </row>
    <row r="242" customFormat="false" ht="15" hidden="false" customHeight="false" outlineLevel="0" collapsed="false">
      <c r="A242" s="2" t="n">
        <v>241</v>
      </c>
      <c r="B242" s="2" t="n">
        <v>11</v>
      </c>
      <c r="C242" s="2" t="s">
        <v>210</v>
      </c>
      <c r="D242" s="2" t="s">
        <v>148</v>
      </c>
      <c r="E242" s="8" t="n">
        <v>45991</v>
      </c>
      <c r="F242" s="8"/>
      <c r="G242" s="2" t="s">
        <v>101</v>
      </c>
      <c r="H242" s="2" t="n">
        <v>60</v>
      </c>
      <c r="I242" s="2" t="str">
        <f aca="true">IF(AND(G242&lt;&gt;"Done",E242&lt;TODAY()),"Overdue","")</f>
        <v>Overdue</v>
      </c>
    </row>
    <row r="243" customFormat="false" ht="15" hidden="false" customHeight="false" outlineLevel="0" collapsed="false">
      <c r="A243" s="2" t="n">
        <v>242</v>
      </c>
      <c r="B243" s="2" t="n">
        <v>11</v>
      </c>
      <c r="C243" s="2" t="s">
        <v>159</v>
      </c>
      <c r="D243" s="2" t="s">
        <v>204</v>
      </c>
      <c r="E243" s="8" t="n">
        <v>46045</v>
      </c>
      <c r="F243" s="8"/>
      <c r="G243" s="2" t="s">
        <v>88</v>
      </c>
      <c r="H243" s="2" t="n">
        <v>80</v>
      </c>
      <c r="I243" s="2" t="str">
        <f aca="true">IF(AND(G243&lt;&gt;"Done",E243&lt;TODAY()),"Overdue","")</f>
        <v>Overdue</v>
      </c>
    </row>
    <row r="244" customFormat="false" ht="15" hidden="false" customHeight="false" outlineLevel="0" collapsed="false">
      <c r="A244" s="2" t="n">
        <v>243</v>
      </c>
      <c r="B244" s="2" t="n">
        <v>11</v>
      </c>
      <c r="C244" s="2" t="s">
        <v>274</v>
      </c>
      <c r="D244" s="2" t="s">
        <v>116</v>
      </c>
      <c r="E244" s="8" t="n">
        <v>45980</v>
      </c>
      <c r="F244" s="8"/>
      <c r="G244" s="2" t="s">
        <v>88</v>
      </c>
      <c r="H244" s="2" t="n">
        <v>80</v>
      </c>
      <c r="I244" s="2" t="str">
        <f aca="true">IF(AND(G244&lt;&gt;"Done",E244&lt;TODAY()),"Overdue","")</f>
        <v>Overdue</v>
      </c>
    </row>
    <row r="245" customFormat="false" ht="15" hidden="false" customHeight="false" outlineLevel="0" collapsed="false">
      <c r="A245" s="2" t="n">
        <v>244</v>
      </c>
      <c r="B245" s="2" t="n">
        <v>11</v>
      </c>
      <c r="C245" s="2" t="s">
        <v>221</v>
      </c>
      <c r="D245" s="2" t="s">
        <v>286</v>
      </c>
      <c r="E245" s="8" t="n">
        <v>46003</v>
      </c>
      <c r="F245" s="8" t="n">
        <v>46012</v>
      </c>
      <c r="G245" s="2" t="s">
        <v>114</v>
      </c>
      <c r="H245" s="2" t="n">
        <v>80</v>
      </c>
      <c r="I245" s="2" t="str">
        <f aca="true">IF(AND(G245&lt;&gt;"Done",E245&lt;TODAY()),"Overdue","")</f>
        <v/>
      </c>
    </row>
    <row r="246" customFormat="false" ht="15" hidden="false" customHeight="false" outlineLevel="0" collapsed="false">
      <c r="A246" s="2" t="n">
        <v>245</v>
      </c>
      <c r="B246" s="2" t="n">
        <v>11</v>
      </c>
      <c r="C246" s="2" t="s">
        <v>276</v>
      </c>
      <c r="D246" s="2" t="s">
        <v>66</v>
      </c>
      <c r="E246" s="8" t="n">
        <v>45982</v>
      </c>
      <c r="F246" s="8" t="n">
        <v>45979</v>
      </c>
      <c r="G246" s="2" t="s">
        <v>114</v>
      </c>
      <c r="H246" s="2" t="n">
        <v>60</v>
      </c>
      <c r="I246" s="2" t="str">
        <f aca="true">IF(AND(G246&lt;&gt;"Done",E246&lt;TODAY()),"Overdue","")</f>
        <v/>
      </c>
    </row>
    <row r="247" customFormat="false" ht="15" hidden="false" customHeight="false" outlineLevel="0" collapsed="false">
      <c r="A247" s="2" t="n">
        <v>246</v>
      </c>
      <c r="B247" s="2" t="n">
        <v>11</v>
      </c>
      <c r="C247" s="2" t="s">
        <v>272</v>
      </c>
      <c r="D247" s="2" t="s">
        <v>51</v>
      </c>
      <c r="E247" s="8" t="n">
        <v>46054</v>
      </c>
      <c r="F247" s="8" t="n">
        <v>46064</v>
      </c>
      <c r="G247" s="2" t="s">
        <v>114</v>
      </c>
      <c r="H247" s="2" t="n">
        <v>80</v>
      </c>
      <c r="I247" s="2" t="str">
        <f aca="true">IF(AND(G247&lt;&gt;"Done",E247&lt;TODAY()),"Overdue","")</f>
        <v/>
      </c>
    </row>
    <row r="248" customFormat="false" ht="15" hidden="false" customHeight="false" outlineLevel="0" collapsed="false">
      <c r="A248" s="2" t="n">
        <v>247</v>
      </c>
      <c r="B248" s="2" t="n">
        <v>11</v>
      </c>
      <c r="C248" s="2" t="s">
        <v>110</v>
      </c>
      <c r="D248" s="2" t="s">
        <v>151</v>
      </c>
      <c r="E248" s="8" t="n">
        <v>45962</v>
      </c>
      <c r="F248" s="8"/>
      <c r="G248" s="2" t="s">
        <v>88</v>
      </c>
      <c r="H248" s="2" t="n">
        <v>24</v>
      </c>
      <c r="I248" s="2" t="str">
        <f aca="true">IF(AND(G248&lt;&gt;"Done",E248&lt;TODAY()),"Overdue","")</f>
        <v>Overdue</v>
      </c>
    </row>
    <row r="249" customFormat="false" ht="15" hidden="false" customHeight="false" outlineLevel="0" collapsed="false">
      <c r="A249" s="2" t="n">
        <v>248</v>
      </c>
      <c r="B249" s="2" t="n">
        <v>11</v>
      </c>
      <c r="C249" s="2" t="s">
        <v>256</v>
      </c>
      <c r="D249" s="2" t="s">
        <v>194</v>
      </c>
      <c r="E249" s="8" t="n">
        <v>45968</v>
      </c>
      <c r="F249" s="8" t="n">
        <v>45963</v>
      </c>
      <c r="G249" s="2" t="s">
        <v>114</v>
      </c>
      <c r="H249" s="2" t="n">
        <v>16</v>
      </c>
      <c r="I249" s="2" t="str">
        <f aca="true">IF(AND(G249&lt;&gt;"Done",E249&lt;TODAY()),"Overdue","")</f>
        <v/>
      </c>
    </row>
    <row r="250" customFormat="false" ht="15" hidden="false" customHeight="false" outlineLevel="0" collapsed="false">
      <c r="A250" s="2" t="n">
        <v>249</v>
      </c>
      <c r="B250" s="2" t="n">
        <v>11</v>
      </c>
      <c r="C250" s="2" t="s">
        <v>270</v>
      </c>
      <c r="D250" s="2" t="s">
        <v>100</v>
      </c>
      <c r="E250" s="8" t="n">
        <v>45937</v>
      </c>
      <c r="F250" s="8"/>
      <c r="G250" s="2" t="s">
        <v>48</v>
      </c>
      <c r="H250" s="2" t="n">
        <v>8</v>
      </c>
      <c r="I250" s="2" t="str">
        <f aca="true">IF(AND(G250&lt;&gt;"Done",E250&lt;TODAY()),"Overdue","")</f>
        <v>Overdue</v>
      </c>
    </row>
    <row r="251" customFormat="false" ht="15" hidden="false" customHeight="false" outlineLevel="0" collapsed="false">
      <c r="A251" s="2" t="n">
        <v>250</v>
      </c>
      <c r="B251" s="2" t="n">
        <v>12</v>
      </c>
      <c r="C251" s="2" t="s">
        <v>157</v>
      </c>
      <c r="D251" s="2" t="s">
        <v>192</v>
      </c>
      <c r="E251" s="8" t="n">
        <v>45851</v>
      </c>
      <c r="F251" s="8"/>
      <c r="G251" s="2" t="s">
        <v>48</v>
      </c>
      <c r="H251" s="2" t="n">
        <v>80</v>
      </c>
      <c r="I251" s="2" t="str">
        <f aca="true">IF(AND(G251&lt;&gt;"Done",E251&lt;TODAY()),"Overdue","")</f>
        <v>Overdue</v>
      </c>
    </row>
    <row r="252" customFormat="false" ht="15" hidden="false" customHeight="false" outlineLevel="0" collapsed="false">
      <c r="A252" s="2" t="n">
        <v>251</v>
      </c>
      <c r="B252" s="2" t="n">
        <v>12</v>
      </c>
      <c r="C252" s="2" t="s">
        <v>166</v>
      </c>
      <c r="D252" s="2" t="s">
        <v>204</v>
      </c>
      <c r="E252" s="8" t="n">
        <v>45916</v>
      </c>
      <c r="F252" s="8" t="n">
        <v>45913</v>
      </c>
      <c r="G252" s="2" t="s">
        <v>114</v>
      </c>
      <c r="H252" s="2" t="n">
        <v>60</v>
      </c>
      <c r="I252" s="2" t="str">
        <f aca="true">IF(AND(G252&lt;&gt;"Done",E252&lt;TODAY()),"Overdue","")</f>
        <v/>
      </c>
    </row>
    <row r="253" customFormat="false" ht="15" hidden="false" customHeight="false" outlineLevel="0" collapsed="false">
      <c r="A253" s="2" t="n">
        <v>252</v>
      </c>
      <c r="B253" s="2" t="n">
        <v>12</v>
      </c>
      <c r="C253" s="2" t="s">
        <v>287</v>
      </c>
      <c r="D253" s="2" t="s">
        <v>95</v>
      </c>
      <c r="E253" s="8" t="n">
        <v>45866</v>
      </c>
      <c r="F253" s="8" t="n">
        <v>45874</v>
      </c>
      <c r="G253" s="2" t="s">
        <v>114</v>
      </c>
      <c r="H253" s="2" t="n">
        <v>4</v>
      </c>
      <c r="I253" s="2" t="str">
        <f aca="true">IF(AND(G253&lt;&gt;"Done",E253&lt;TODAY()),"Overdue","")</f>
        <v/>
      </c>
    </row>
    <row r="254" customFormat="false" ht="15" hidden="false" customHeight="false" outlineLevel="0" collapsed="false">
      <c r="A254" s="2" t="n">
        <v>253</v>
      </c>
      <c r="B254" s="2" t="n">
        <v>12</v>
      </c>
      <c r="C254" s="2" t="s">
        <v>225</v>
      </c>
      <c r="D254" s="2" t="s">
        <v>146</v>
      </c>
      <c r="E254" s="8" t="n">
        <v>45835</v>
      </c>
      <c r="F254" s="8"/>
      <c r="G254" s="2" t="s">
        <v>48</v>
      </c>
      <c r="H254" s="2" t="n">
        <v>60</v>
      </c>
      <c r="I254" s="2" t="str">
        <f aca="true">IF(AND(G254&lt;&gt;"Done",E254&lt;TODAY()),"Overdue","")</f>
        <v>Overdue</v>
      </c>
    </row>
    <row r="255" customFormat="false" ht="15" hidden="false" customHeight="false" outlineLevel="0" collapsed="false">
      <c r="A255" s="2" t="n">
        <v>254</v>
      </c>
      <c r="B255" s="2" t="n">
        <v>12</v>
      </c>
      <c r="C255" s="2" t="s">
        <v>150</v>
      </c>
      <c r="D255" s="2" t="s">
        <v>103</v>
      </c>
      <c r="E255" s="8" t="n">
        <v>45939</v>
      </c>
      <c r="F255" s="8"/>
      <c r="G255" s="2" t="s">
        <v>88</v>
      </c>
      <c r="H255" s="2" t="n">
        <v>4</v>
      </c>
      <c r="I255" s="2" t="str">
        <f aca="true">IF(AND(G255&lt;&gt;"Done",E255&lt;TODAY()),"Overdue","")</f>
        <v>Overdue</v>
      </c>
    </row>
    <row r="256" customFormat="false" ht="15" hidden="false" customHeight="false" outlineLevel="0" collapsed="false">
      <c r="A256" s="2" t="n">
        <v>255</v>
      </c>
      <c r="B256" s="2" t="n">
        <v>12</v>
      </c>
      <c r="C256" s="2" t="s">
        <v>271</v>
      </c>
      <c r="D256" s="2" t="s">
        <v>201</v>
      </c>
      <c r="E256" s="8" t="n">
        <v>45843</v>
      </c>
      <c r="F256" s="8"/>
      <c r="G256" s="2" t="s">
        <v>88</v>
      </c>
      <c r="H256" s="2" t="n">
        <v>24</v>
      </c>
      <c r="I256" s="2" t="str">
        <f aca="true">IF(AND(G256&lt;&gt;"Done",E256&lt;TODAY()),"Overdue","")</f>
        <v>Overdue</v>
      </c>
    </row>
    <row r="257" customFormat="false" ht="15" hidden="false" customHeight="false" outlineLevel="0" collapsed="false">
      <c r="A257" s="2" t="n">
        <v>256</v>
      </c>
      <c r="B257" s="2" t="n">
        <v>12</v>
      </c>
      <c r="C257" s="2" t="s">
        <v>288</v>
      </c>
      <c r="D257" s="2" t="s">
        <v>198</v>
      </c>
      <c r="E257" s="8" t="n">
        <v>45847</v>
      </c>
      <c r="F257" s="8"/>
      <c r="G257" s="2" t="s">
        <v>88</v>
      </c>
      <c r="H257" s="2" t="n">
        <v>40</v>
      </c>
      <c r="I257" s="2" t="str">
        <f aca="true">IF(AND(G257&lt;&gt;"Done",E257&lt;TODAY()),"Overdue","")</f>
        <v>Overdue</v>
      </c>
    </row>
    <row r="258" customFormat="false" ht="15" hidden="false" customHeight="false" outlineLevel="0" collapsed="false">
      <c r="A258" s="2" t="n">
        <v>257</v>
      </c>
      <c r="B258" s="2" t="n">
        <v>12</v>
      </c>
      <c r="C258" s="2" t="s">
        <v>108</v>
      </c>
      <c r="D258" s="2" t="s">
        <v>90</v>
      </c>
      <c r="E258" s="8" t="n">
        <v>45835</v>
      </c>
      <c r="F258" s="8" t="n">
        <v>45835</v>
      </c>
      <c r="G258" s="2" t="s">
        <v>114</v>
      </c>
      <c r="H258" s="2" t="n">
        <v>24</v>
      </c>
      <c r="I258" s="2" t="str">
        <f aca="true">IF(AND(G258&lt;&gt;"Done",E258&lt;TODAY()),"Overdue","")</f>
        <v/>
      </c>
    </row>
    <row r="259" customFormat="false" ht="15" hidden="false" customHeight="false" outlineLevel="0" collapsed="false">
      <c r="A259" s="2" t="n">
        <v>258</v>
      </c>
      <c r="B259" s="2" t="n">
        <v>12</v>
      </c>
      <c r="C259" s="2" t="s">
        <v>214</v>
      </c>
      <c r="D259" s="2" t="s">
        <v>188</v>
      </c>
      <c r="E259" s="8" t="n">
        <v>45831</v>
      </c>
      <c r="F259" s="8" t="n">
        <v>45831</v>
      </c>
      <c r="G259" s="2" t="s">
        <v>114</v>
      </c>
      <c r="H259" s="2" t="n">
        <v>60</v>
      </c>
      <c r="I259" s="2" t="str">
        <f aca="true">IF(AND(G259&lt;&gt;"Done",E259&lt;TODAY()),"Overdue","")</f>
        <v/>
      </c>
    </row>
    <row r="260" customFormat="false" ht="15" hidden="false" customHeight="false" outlineLevel="0" collapsed="false">
      <c r="A260" s="2" t="n">
        <v>259</v>
      </c>
      <c r="B260" s="2" t="n">
        <v>12</v>
      </c>
      <c r="C260" s="2" t="s">
        <v>277</v>
      </c>
      <c r="D260" s="2" t="s">
        <v>37</v>
      </c>
      <c r="E260" s="8" t="n">
        <v>45852</v>
      </c>
      <c r="F260" s="8" t="n">
        <v>45856</v>
      </c>
      <c r="G260" s="2" t="s">
        <v>114</v>
      </c>
      <c r="H260" s="2" t="n">
        <v>40</v>
      </c>
      <c r="I260" s="2" t="str">
        <f aca="true">IF(AND(G260&lt;&gt;"Done",E260&lt;TODAY()),"Overdue","")</f>
        <v/>
      </c>
    </row>
    <row r="261" customFormat="false" ht="15" hidden="false" customHeight="false" outlineLevel="0" collapsed="false">
      <c r="A261" s="2" t="n">
        <v>260</v>
      </c>
      <c r="B261" s="2" t="n">
        <v>12</v>
      </c>
      <c r="C261" s="2" t="s">
        <v>195</v>
      </c>
      <c r="D261" s="2" t="s">
        <v>44</v>
      </c>
      <c r="E261" s="8" t="n">
        <v>45960</v>
      </c>
      <c r="F261" s="8" t="n">
        <v>45965</v>
      </c>
      <c r="G261" s="2" t="s">
        <v>114</v>
      </c>
      <c r="H261" s="2" t="n">
        <v>60</v>
      </c>
      <c r="I261" s="2" t="str">
        <f aca="true">IF(AND(G261&lt;&gt;"Done",E261&lt;TODAY()),"Overdue","")</f>
        <v/>
      </c>
    </row>
    <row r="262" customFormat="false" ht="15" hidden="false" customHeight="false" outlineLevel="0" collapsed="false">
      <c r="A262" s="2" t="n">
        <v>261</v>
      </c>
      <c r="B262" s="2" t="n">
        <v>12</v>
      </c>
      <c r="C262" s="2" t="s">
        <v>189</v>
      </c>
      <c r="D262" s="2" t="s">
        <v>47</v>
      </c>
      <c r="E262" s="8" t="n">
        <v>45930</v>
      </c>
      <c r="F262" s="8"/>
      <c r="G262" s="2" t="s">
        <v>101</v>
      </c>
      <c r="H262" s="2" t="n">
        <v>16</v>
      </c>
      <c r="I262" s="2" t="str">
        <f aca="true">IF(AND(G262&lt;&gt;"Done",E262&lt;TODAY()),"Overdue","")</f>
        <v>Overdue</v>
      </c>
    </row>
    <row r="263" customFormat="false" ht="15" hidden="false" customHeight="false" outlineLevel="0" collapsed="false">
      <c r="A263" s="2" t="n">
        <v>262</v>
      </c>
      <c r="B263" s="2" t="n">
        <v>12</v>
      </c>
      <c r="C263" s="2" t="s">
        <v>264</v>
      </c>
      <c r="D263" s="2" t="s">
        <v>92</v>
      </c>
      <c r="E263" s="8" t="n">
        <v>45848</v>
      </c>
      <c r="F263" s="8"/>
      <c r="G263" s="2" t="s">
        <v>48</v>
      </c>
      <c r="H263" s="2" t="n">
        <v>4</v>
      </c>
      <c r="I263" s="2" t="str">
        <f aca="true">IF(AND(G263&lt;&gt;"Done",E263&lt;TODAY()),"Overdue","")</f>
        <v>Overdue</v>
      </c>
    </row>
    <row r="264" customFormat="false" ht="15" hidden="false" customHeight="false" outlineLevel="0" collapsed="false">
      <c r="A264" s="2" t="n">
        <v>263</v>
      </c>
      <c r="B264" s="2" t="n">
        <v>12</v>
      </c>
      <c r="C264" s="2" t="s">
        <v>289</v>
      </c>
      <c r="D264" s="2" t="s">
        <v>155</v>
      </c>
      <c r="E264" s="8" t="n">
        <v>45916</v>
      </c>
      <c r="F264" s="8"/>
      <c r="G264" s="2" t="s">
        <v>88</v>
      </c>
      <c r="H264" s="2" t="n">
        <v>80</v>
      </c>
      <c r="I264" s="2" t="str">
        <f aca="true">IF(AND(G264&lt;&gt;"Done",E264&lt;TODAY()),"Overdue","")</f>
        <v>Overdue</v>
      </c>
    </row>
    <row r="265" customFormat="false" ht="15" hidden="false" customHeight="false" outlineLevel="0" collapsed="false">
      <c r="A265" s="2" t="n">
        <v>264</v>
      </c>
      <c r="B265" s="2" t="n">
        <v>12</v>
      </c>
      <c r="C265" s="2" t="s">
        <v>227</v>
      </c>
      <c r="D265" s="2" t="s">
        <v>92</v>
      </c>
      <c r="E265" s="8" t="n">
        <v>45875</v>
      </c>
      <c r="F265" s="8" t="n">
        <v>45882</v>
      </c>
      <c r="G265" s="2" t="s">
        <v>114</v>
      </c>
      <c r="H265" s="2" t="n">
        <v>8</v>
      </c>
      <c r="I265" s="2" t="str">
        <f aca="true">IF(AND(G265&lt;&gt;"Done",E265&lt;TODAY()),"Overdue","")</f>
        <v/>
      </c>
    </row>
    <row r="266" customFormat="false" ht="15" hidden="false" customHeight="false" outlineLevel="0" collapsed="false">
      <c r="A266" s="2" t="n">
        <v>265</v>
      </c>
      <c r="B266" s="2" t="n">
        <v>12</v>
      </c>
      <c r="C266" s="2" t="s">
        <v>179</v>
      </c>
      <c r="D266" s="2" t="s">
        <v>44</v>
      </c>
      <c r="E266" s="8" t="n">
        <v>45865</v>
      </c>
      <c r="F266" s="8"/>
      <c r="G266" s="2" t="s">
        <v>88</v>
      </c>
      <c r="H266" s="2" t="n">
        <v>16</v>
      </c>
      <c r="I266" s="2" t="str">
        <f aca="true">IF(AND(G266&lt;&gt;"Done",E266&lt;TODAY()),"Overdue","")</f>
        <v>Overdue</v>
      </c>
    </row>
    <row r="267" customFormat="false" ht="15" hidden="false" customHeight="false" outlineLevel="0" collapsed="false">
      <c r="A267" s="2" t="n">
        <v>266</v>
      </c>
      <c r="B267" s="2" t="n">
        <v>12</v>
      </c>
      <c r="C267" s="2" t="s">
        <v>142</v>
      </c>
      <c r="D267" s="2" t="s">
        <v>44</v>
      </c>
      <c r="E267" s="8" t="n">
        <v>45882</v>
      </c>
      <c r="F267" s="8"/>
      <c r="G267" s="2" t="s">
        <v>88</v>
      </c>
      <c r="H267" s="2" t="n">
        <v>16</v>
      </c>
      <c r="I267" s="2" t="str">
        <f aca="true">IF(AND(G267&lt;&gt;"Done",E267&lt;TODAY()),"Overdue","")</f>
        <v>Overdue</v>
      </c>
    </row>
    <row r="268" customFormat="false" ht="15" hidden="false" customHeight="false" outlineLevel="0" collapsed="false">
      <c r="A268" s="2" t="n">
        <v>267</v>
      </c>
      <c r="B268" s="2" t="n">
        <v>12</v>
      </c>
      <c r="C268" s="2" t="s">
        <v>147</v>
      </c>
      <c r="D268" s="2" t="s">
        <v>44</v>
      </c>
      <c r="E268" s="8" t="n">
        <v>45910</v>
      </c>
      <c r="F268" s="8" t="n">
        <v>45920</v>
      </c>
      <c r="G268" s="2" t="s">
        <v>114</v>
      </c>
      <c r="H268" s="2" t="n">
        <v>80</v>
      </c>
      <c r="I268" s="2" t="str">
        <f aca="true">IF(AND(G268&lt;&gt;"Done",E268&lt;TODAY()),"Overdue","")</f>
        <v/>
      </c>
    </row>
    <row r="269" customFormat="false" ht="15" hidden="false" customHeight="false" outlineLevel="0" collapsed="false">
      <c r="A269" s="2" t="n">
        <v>268</v>
      </c>
      <c r="B269" s="2" t="n">
        <v>12</v>
      </c>
      <c r="C269" s="2" t="s">
        <v>290</v>
      </c>
      <c r="D269" s="2" t="s">
        <v>66</v>
      </c>
      <c r="E269" s="8" t="n">
        <v>45879</v>
      </c>
      <c r="F269" s="8"/>
      <c r="G269" s="2" t="s">
        <v>48</v>
      </c>
      <c r="H269" s="2" t="n">
        <v>80</v>
      </c>
      <c r="I269" s="2" t="str">
        <f aca="true">IF(AND(G269&lt;&gt;"Done",E269&lt;TODAY()),"Overdue","")</f>
        <v>Overdue</v>
      </c>
    </row>
    <row r="270" customFormat="false" ht="15" hidden="false" customHeight="false" outlineLevel="0" collapsed="false">
      <c r="A270" s="2" t="n">
        <v>269</v>
      </c>
      <c r="B270" s="2" t="n">
        <v>12</v>
      </c>
      <c r="C270" s="2" t="s">
        <v>252</v>
      </c>
      <c r="D270" s="2" t="s">
        <v>160</v>
      </c>
      <c r="E270" s="8" t="n">
        <v>45915</v>
      </c>
      <c r="F270" s="8"/>
      <c r="G270" s="2" t="s">
        <v>48</v>
      </c>
      <c r="H270" s="2" t="n">
        <v>24</v>
      </c>
      <c r="I270" s="2" t="str">
        <f aca="true">IF(AND(G270&lt;&gt;"Done",E270&lt;TODAY()),"Overdue","")</f>
        <v>Overdue</v>
      </c>
    </row>
    <row r="271" customFormat="false" ht="15" hidden="false" customHeight="false" outlineLevel="0" collapsed="false">
      <c r="A271" s="2" t="n">
        <v>270</v>
      </c>
      <c r="B271" s="2" t="n">
        <v>12</v>
      </c>
      <c r="C271" s="2" t="s">
        <v>291</v>
      </c>
      <c r="D271" s="2" t="s">
        <v>267</v>
      </c>
      <c r="E271" s="8" t="n">
        <v>45943</v>
      </c>
      <c r="F271" s="8" t="n">
        <v>45948</v>
      </c>
      <c r="G271" s="2" t="s">
        <v>114</v>
      </c>
      <c r="H271" s="2" t="n">
        <v>60</v>
      </c>
      <c r="I271" s="2" t="str">
        <f aca="true">IF(AND(G271&lt;&gt;"Done",E271&lt;TODAY()),"Overdue","")</f>
        <v/>
      </c>
    </row>
    <row r="272" customFormat="false" ht="15" hidden="false" customHeight="false" outlineLevel="0" collapsed="false">
      <c r="A272" s="2" t="n">
        <v>271</v>
      </c>
      <c r="B272" s="2" t="n">
        <v>12</v>
      </c>
      <c r="C272" s="2" t="s">
        <v>226</v>
      </c>
      <c r="D272" s="2" t="s">
        <v>151</v>
      </c>
      <c r="E272" s="8" t="n">
        <v>45958</v>
      </c>
      <c r="F272" s="8"/>
      <c r="G272" s="2" t="s">
        <v>48</v>
      </c>
      <c r="H272" s="2" t="n">
        <v>80</v>
      </c>
      <c r="I272" s="2" t="str">
        <f aca="true">IF(AND(G272&lt;&gt;"Done",E272&lt;TODAY()),"Overdue","")</f>
        <v>Overdue</v>
      </c>
    </row>
    <row r="273" customFormat="false" ht="15" hidden="false" customHeight="false" outlineLevel="0" collapsed="false">
      <c r="A273" s="2" t="n">
        <v>272</v>
      </c>
      <c r="B273" s="2" t="n">
        <v>12</v>
      </c>
      <c r="C273" s="2" t="s">
        <v>292</v>
      </c>
      <c r="D273" s="2" t="s">
        <v>188</v>
      </c>
      <c r="E273" s="8" t="n">
        <v>45852</v>
      </c>
      <c r="F273" s="8" t="n">
        <v>45847</v>
      </c>
      <c r="G273" s="2" t="s">
        <v>114</v>
      </c>
      <c r="H273" s="2" t="n">
        <v>40</v>
      </c>
      <c r="I273" s="2" t="str">
        <f aca="true">IF(AND(G273&lt;&gt;"Done",E273&lt;TODAY()),"Overdue","")</f>
        <v/>
      </c>
    </row>
    <row r="274" customFormat="false" ht="15" hidden="false" customHeight="false" outlineLevel="0" collapsed="false">
      <c r="A274" s="2" t="n">
        <v>273</v>
      </c>
      <c r="B274" s="2" t="n">
        <v>12</v>
      </c>
      <c r="C274" s="2" t="s">
        <v>106</v>
      </c>
      <c r="D274" s="2" t="s">
        <v>118</v>
      </c>
      <c r="E274" s="8" t="n">
        <v>45906</v>
      </c>
      <c r="F274" s="8"/>
      <c r="G274" s="2" t="s">
        <v>48</v>
      </c>
      <c r="H274" s="2" t="n">
        <v>16</v>
      </c>
      <c r="I274" s="2" t="str">
        <f aca="true">IF(AND(G274&lt;&gt;"Done",E274&lt;TODAY()),"Overdue","")</f>
        <v>Overdue</v>
      </c>
    </row>
    <row r="275" customFormat="false" ht="15" hidden="false" customHeight="false" outlineLevel="0" collapsed="false">
      <c r="A275" s="2" t="n">
        <v>274</v>
      </c>
      <c r="B275" s="2" t="n">
        <v>12</v>
      </c>
      <c r="C275" s="2" t="s">
        <v>126</v>
      </c>
      <c r="D275" s="2" t="s">
        <v>286</v>
      </c>
      <c r="E275" s="8" t="n">
        <v>45909</v>
      </c>
      <c r="F275" s="8"/>
      <c r="G275" s="2" t="s">
        <v>48</v>
      </c>
      <c r="H275" s="2" t="n">
        <v>60</v>
      </c>
      <c r="I275" s="2" t="str">
        <f aca="true">IF(AND(G275&lt;&gt;"Done",E275&lt;TODAY()),"Overdue","")</f>
        <v>Overdue</v>
      </c>
    </row>
    <row r="276" customFormat="false" ht="15" hidden="false" customHeight="false" outlineLevel="0" collapsed="false">
      <c r="A276" s="2" t="n">
        <v>275</v>
      </c>
      <c r="B276" s="2" t="n">
        <v>12</v>
      </c>
      <c r="C276" s="2" t="s">
        <v>246</v>
      </c>
      <c r="D276" s="2" t="s">
        <v>105</v>
      </c>
      <c r="E276" s="8" t="n">
        <v>45944</v>
      </c>
      <c r="F276" s="8"/>
      <c r="G276" s="2" t="s">
        <v>48</v>
      </c>
      <c r="H276" s="2" t="n">
        <v>40</v>
      </c>
      <c r="I276" s="2" t="str">
        <f aca="true">IF(AND(G276&lt;&gt;"Done",E276&lt;TODAY()),"Overdue","")</f>
        <v>Overdue</v>
      </c>
    </row>
    <row r="277" customFormat="false" ht="15" hidden="false" customHeight="false" outlineLevel="0" collapsed="false">
      <c r="A277" s="2" t="n">
        <v>276</v>
      </c>
      <c r="B277" s="2" t="n">
        <v>12</v>
      </c>
      <c r="C277" s="2" t="s">
        <v>293</v>
      </c>
      <c r="D277" s="2" t="s">
        <v>57</v>
      </c>
      <c r="E277" s="8" t="n">
        <v>45942</v>
      </c>
      <c r="F277" s="8"/>
      <c r="G277" s="2" t="s">
        <v>48</v>
      </c>
      <c r="H277" s="2" t="n">
        <v>60</v>
      </c>
      <c r="I277" s="2" t="str">
        <f aca="true">IF(AND(G277&lt;&gt;"Done",E277&lt;TODAY()),"Overdue","")</f>
        <v>Overdue</v>
      </c>
    </row>
    <row r="278" customFormat="false" ht="15" hidden="false" customHeight="false" outlineLevel="0" collapsed="false">
      <c r="A278" s="2" t="n">
        <v>277</v>
      </c>
      <c r="B278" s="2" t="n">
        <v>13</v>
      </c>
      <c r="C278" s="2" t="s">
        <v>207</v>
      </c>
      <c r="D278" s="2" t="s">
        <v>198</v>
      </c>
      <c r="E278" s="8" t="n">
        <v>46064</v>
      </c>
      <c r="F278" s="8" t="n">
        <v>46062</v>
      </c>
      <c r="G278" s="2" t="s">
        <v>114</v>
      </c>
      <c r="H278" s="2" t="n">
        <v>60</v>
      </c>
      <c r="I278" s="2" t="str">
        <f aca="true">IF(AND(G278&lt;&gt;"Done",E278&lt;TODAY()),"Overdue","")</f>
        <v/>
      </c>
    </row>
    <row r="279" customFormat="false" ht="15" hidden="false" customHeight="false" outlineLevel="0" collapsed="false">
      <c r="A279" s="2" t="n">
        <v>278</v>
      </c>
      <c r="B279" s="2" t="n">
        <v>13</v>
      </c>
      <c r="C279" s="2" t="s">
        <v>237</v>
      </c>
      <c r="D279" s="2" t="s">
        <v>109</v>
      </c>
      <c r="E279" s="8" t="n">
        <v>46171</v>
      </c>
      <c r="F279" s="8"/>
      <c r="G279" s="2" t="s">
        <v>48</v>
      </c>
      <c r="H279" s="2" t="n">
        <v>80</v>
      </c>
      <c r="I279" s="2" t="str">
        <f aca="true">IF(AND(G279&lt;&gt;"Done",E279&lt;TODAY()),"Overdue","")</f>
        <v/>
      </c>
    </row>
    <row r="280" customFormat="false" ht="15" hidden="false" customHeight="false" outlineLevel="0" collapsed="false">
      <c r="A280" s="2" t="n">
        <v>279</v>
      </c>
      <c r="B280" s="2" t="n">
        <v>13</v>
      </c>
      <c r="C280" s="2" t="s">
        <v>292</v>
      </c>
      <c r="D280" s="2" t="s">
        <v>44</v>
      </c>
      <c r="E280" s="8" t="n">
        <v>46136</v>
      </c>
      <c r="F280" s="8"/>
      <c r="G280" s="2" t="s">
        <v>48</v>
      </c>
      <c r="H280" s="2" t="n">
        <v>40</v>
      </c>
      <c r="I280" s="2" t="str">
        <f aca="true">IF(AND(G280&lt;&gt;"Done",E280&lt;TODAY()),"Overdue","")</f>
        <v>Overdue</v>
      </c>
    </row>
    <row r="281" customFormat="false" ht="15" hidden="false" customHeight="false" outlineLevel="0" collapsed="false">
      <c r="A281" s="2" t="n">
        <v>280</v>
      </c>
      <c r="B281" s="2" t="n">
        <v>13</v>
      </c>
      <c r="C281" s="2" t="s">
        <v>294</v>
      </c>
      <c r="D281" s="2" t="s">
        <v>148</v>
      </c>
      <c r="E281" s="8" t="n">
        <v>46010</v>
      </c>
      <c r="F281" s="8" t="n">
        <v>46014</v>
      </c>
      <c r="G281" s="2" t="s">
        <v>114</v>
      </c>
      <c r="H281" s="2" t="n">
        <v>4</v>
      </c>
      <c r="I281" s="2" t="str">
        <f aca="true">IF(AND(G281&lt;&gt;"Done",E281&lt;TODAY()),"Overdue","")</f>
        <v/>
      </c>
    </row>
    <row r="282" customFormat="false" ht="15" hidden="false" customHeight="false" outlineLevel="0" collapsed="false">
      <c r="A282" s="2" t="n">
        <v>281</v>
      </c>
      <c r="B282" s="2" t="n">
        <v>13</v>
      </c>
      <c r="C282" s="2" t="s">
        <v>295</v>
      </c>
      <c r="D282" s="2" t="s">
        <v>144</v>
      </c>
      <c r="E282" s="8" t="n">
        <v>46117</v>
      </c>
      <c r="F282" s="8"/>
      <c r="G282" s="2" t="s">
        <v>88</v>
      </c>
      <c r="H282" s="2" t="n">
        <v>60</v>
      </c>
      <c r="I282" s="2" t="str">
        <f aca="true">IF(AND(G282&lt;&gt;"Done",E282&lt;TODAY()),"Overdue","")</f>
        <v>Overdue</v>
      </c>
    </row>
    <row r="283" customFormat="false" ht="15" hidden="false" customHeight="false" outlineLevel="0" collapsed="false">
      <c r="A283" s="2" t="n">
        <v>282</v>
      </c>
      <c r="B283" s="2" t="n">
        <v>13</v>
      </c>
      <c r="C283" s="2" t="s">
        <v>269</v>
      </c>
      <c r="D283" s="2" t="s">
        <v>97</v>
      </c>
      <c r="E283" s="8" t="n">
        <v>46042</v>
      </c>
      <c r="F283" s="8"/>
      <c r="G283" s="2" t="s">
        <v>88</v>
      </c>
      <c r="H283" s="2" t="n">
        <v>8</v>
      </c>
      <c r="I283" s="2" t="str">
        <f aca="true">IF(AND(G283&lt;&gt;"Done",E283&lt;TODAY()),"Overdue","")</f>
        <v>Overdue</v>
      </c>
    </row>
    <row r="284" customFormat="false" ht="15" hidden="false" customHeight="false" outlineLevel="0" collapsed="false">
      <c r="A284" s="2" t="n">
        <v>283</v>
      </c>
      <c r="B284" s="2" t="n">
        <v>13</v>
      </c>
      <c r="C284" s="2" t="s">
        <v>296</v>
      </c>
      <c r="D284" s="2" t="s">
        <v>107</v>
      </c>
      <c r="E284" s="8" t="n">
        <v>46098</v>
      </c>
      <c r="F284" s="8" t="n">
        <v>46108</v>
      </c>
      <c r="G284" s="2" t="s">
        <v>114</v>
      </c>
      <c r="H284" s="2" t="n">
        <v>16</v>
      </c>
      <c r="I284" s="2" t="str">
        <f aca="true">IF(AND(G284&lt;&gt;"Done",E284&lt;TODAY()),"Overdue","")</f>
        <v/>
      </c>
    </row>
    <row r="285" customFormat="false" ht="15" hidden="false" customHeight="false" outlineLevel="0" collapsed="false">
      <c r="A285" s="2" t="n">
        <v>284</v>
      </c>
      <c r="B285" s="2" t="n">
        <v>13</v>
      </c>
      <c r="C285" s="2" t="s">
        <v>210</v>
      </c>
      <c r="D285" s="2" t="s">
        <v>113</v>
      </c>
      <c r="E285" s="8" t="n">
        <v>46151</v>
      </c>
      <c r="F285" s="8"/>
      <c r="G285" s="2" t="s">
        <v>48</v>
      </c>
      <c r="H285" s="2" t="n">
        <v>24</v>
      </c>
      <c r="I285" s="2" t="str">
        <f aca="true">IF(AND(G285&lt;&gt;"Done",E285&lt;TODAY()),"Overdue","")</f>
        <v/>
      </c>
    </row>
    <row r="286" customFormat="false" ht="15" hidden="false" customHeight="false" outlineLevel="0" collapsed="false">
      <c r="A286" s="2" t="n">
        <v>285</v>
      </c>
      <c r="B286" s="2" t="n">
        <v>13</v>
      </c>
      <c r="C286" s="2" t="s">
        <v>119</v>
      </c>
      <c r="D286" s="2" t="s">
        <v>194</v>
      </c>
      <c r="E286" s="8" t="n">
        <v>46022</v>
      </c>
      <c r="F286" s="8"/>
      <c r="G286" s="2" t="s">
        <v>88</v>
      </c>
      <c r="H286" s="2" t="n">
        <v>8</v>
      </c>
      <c r="I286" s="2" t="str">
        <f aca="true">IF(AND(G286&lt;&gt;"Done",E286&lt;TODAY()),"Overdue","")</f>
        <v>Overdue</v>
      </c>
    </row>
    <row r="287" customFormat="false" ht="15" hidden="false" customHeight="false" outlineLevel="0" collapsed="false">
      <c r="A287" s="2" t="n">
        <v>286</v>
      </c>
      <c r="B287" s="2" t="n">
        <v>13</v>
      </c>
      <c r="C287" s="2" t="s">
        <v>297</v>
      </c>
      <c r="D287" s="2" t="s">
        <v>138</v>
      </c>
      <c r="E287" s="8" t="n">
        <v>46153</v>
      </c>
      <c r="F287" s="8"/>
      <c r="G287" s="2" t="s">
        <v>48</v>
      </c>
      <c r="H287" s="2" t="n">
        <v>80</v>
      </c>
      <c r="I287" s="2" t="str">
        <f aca="true">IF(AND(G287&lt;&gt;"Done",E287&lt;TODAY()),"Overdue","")</f>
        <v/>
      </c>
    </row>
    <row r="288" customFormat="false" ht="15" hidden="false" customHeight="false" outlineLevel="0" collapsed="false">
      <c r="A288" s="2" t="n">
        <v>287</v>
      </c>
      <c r="B288" s="2" t="n">
        <v>13</v>
      </c>
      <c r="C288" s="2" t="s">
        <v>185</v>
      </c>
      <c r="D288" s="2" t="s">
        <v>90</v>
      </c>
      <c r="E288" s="8" t="n">
        <v>46052</v>
      </c>
      <c r="F288" s="8" t="n">
        <v>46047</v>
      </c>
      <c r="G288" s="2" t="s">
        <v>114</v>
      </c>
      <c r="H288" s="2" t="n">
        <v>16</v>
      </c>
      <c r="I288" s="2" t="str">
        <f aca="true">IF(AND(G288&lt;&gt;"Done",E288&lt;TODAY()),"Overdue","")</f>
        <v/>
      </c>
    </row>
    <row r="289" customFormat="false" ht="15" hidden="false" customHeight="false" outlineLevel="0" collapsed="false">
      <c r="A289" s="2" t="n">
        <v>288</v>
      </c>
      <c r="B289" s="2" t="n">
        <v>13</v>
      </c>
      <c r="C289" s="2" t="s">
        <v>252</v>
      </c>
      <c r="D289" s="2" t="s">
        <v>135</v>
      </c>
      <c r="E289" s="8" t="n">
        <v>46011</v>
      </c>
      <c r="F289" s="8" t="n">
        <v>46009</v>
      </c>
      <c r="G289" s="2" t="s">
        <v>114</v>
      </c>
      <c r="H289" s="2" t="n">
        <v>8</v>
      </c>
      <c r="I289" s="2" t="str">
        <f aca="true">IF(AND(G289&lt;&gt;"Done",E289&lt;TODAY()),"Overdue","")</f>
        <v/>
      </c>
    </row>
    <row r="290" customFormat="false" ht="15" hidden="false" customHeight="false" outlineLevel="0" collapsed="false">
      <c r="A290" s="2" t="n">
        <v>289</v>
      </c>
      <c r="B290" s="2" t="n">
        <v>13</v>
      </c>
      <c r="C290" s="2" t="s">
        <v>110</v>
      </c>
      <c r="D290" s="2" t="s">
        <v>109</v>
      </c>
      <c r="E290" s="8" t="n">
        <v>46002</v>
      </c>
      <c r="F290" s="8"/>
      <c r="G290" s="2" t="s">
        <v>101</v>
      </c>
      <c r="H290" s="2" t="n">
        <v>80</v>
      </c>
      <c r="I290" s="2" t="str">
        <f aca="true">IF(AND(G290&lt;&gt;"Done",E290&lt;TODAY()),"Overdue","")</f>
        <v>Overdue</v>
      </c>
    </row>
    <row r="291" customFormat="false" ht="15" hidden="false" customHeight="false" outlineLevel="0" collapsed="false">
      <c r="A291" s="2" t="n">
        <v>290</v>
      </c>
      <c r="B291" s="2" t="n">
        <v>13</v>
      </c>
      <c r="C291" s="2" t="s">
        <v>143</v>
      </c>
      <c r="D291" s="2" t="s">
        <v>100</v>
      </c>
      <c r="E291" s="8" t="n">
        <v>46097</v>
      </c>
      <c r="F291" s="8"/>
      <c r="G291" s="2" t="s">
        <v>88</v>
      </c>
      <c r="H291" s="2" t="n">
        <v>24</v>
      </c>
      <c r="I291" s="2" t="str">
        <f aca="true">IF(AND(G291&lt;&gt;"Done",E291&lt;TODAY()),"Overdue","")</f>
        <v>Overdue</v>
      </c>
    </row>
    <row r="292" customFormat="false" ht="15" hidden="false" customHeight="false" outlineLevel="0" collapsed="false">
      <c r="A292" s="2" t="n">
        <v>291</v>
      </c>
      <c r="B292" s="2" t="n">
        <v>13</v>
      </c>
      <c r="C292" s="2" t="s">
        <v>298</v>
      </c>
      <c r="D292" s="2" t="s">
        <v>41</v>
      </c>
      <c r="E292" s="8" t="n">
        <v>46176</v>
      </c>
      <c r="F292" s="8"/>
      <c r="G292" s="2" t="s">
        <v>101</v>
      </c>
      <c r="H292" s="2" t="n">
        <v>4</v>
      </c>
      <c r="I292" s="2" t="str">
        <f aca="true">IF(AND(G292&lt;&gt;"Done",E292&lt;TODAY()),"Overdue","")</f>
        <v/>
      </c>
    </row>
    <row r="293" customFormat="false" ht="15" hidden="false" customHeight="false" outlineLevel="0" collapsed="false">
      <c r="A293" s="2" t="n">
        <v>292</v>
      </c>
      <c r="B293" s="2" t="n">
        <v>13</v>
      </c>
      <c r="C293" s="2" t="s">
        <v>127</v>
      </c>
      <c r="D293" s="2" t="s">
        <v>204</v>
      </c>
      <c r="E293" s="8" t="n">
        <v>46050</v>
      </c>
      <c r="F293" s="8"/>
      <c r="G293" s="2" t="s">
        <v>48</v>
      </c>
      <c r="H293" s="2" t="n">
        <v>40</v>
      </c>
      <c r="I293" s="2" t="str">
        <f aca="true">IF(AND(G293&lt;&gt;"Done",E293&lt;TODAY()),"Overdue","")</f>
        <v>Overdue</v>
      </c>
    </row>
    <row r="294" customFormat="false" ht="15" hidden="false" customHeight="false" outlineLevel="0" collapsed="false">
      <c r="A294" s="2" t="n">
        <v>293</v>
      </c>
      <c r="B294" s="2" t="n">
        <v>13</v>
      </c>
      <c r="C294" s="2" t="s">
        <v>299</v>
      </c>
      <c r="D294" s="2" t="s">
        <v>165</v>
      </c>
      <c r="E294" s="8" t="n">
        <v>46076</v>
      </c>
      <c r="F294" s="8" t="n">
        <v>46071</v>
      </c>
      <c r="G294" s="2" t="s">
        <v>114</v>
      </c>
      <c r="H294" s="2" t="n">
        <v>4</v>
      </c>
      <c r="I294" s="2" t="str">
        <f aca="true">IF(AND(G294&lt;&gt;"Done",E294&lt;TODAY()),"Overdue","")</f>
        <v/>
      </c>
    </row>
    <row r="295" customFormat="false" ht="15" hidden="false" customHeight="false" outlineLevel="0" collapsed="false">
      <c r="A295" s="2" t="n">
        <v>294</v>
      </c>
      <c r="B295" s="2" t="n">
        <v>13</v>
      </c>
      <c r="C295" s="2" t="s">
        <v>262</v>
      </c>
      <c r="D295" s="2" t="s">
        <v>229</v>
      </c>
      <c r="E295" s="8" t="n">
        <v>46086</v>
      </c>
      <c r="F295" s="8"/>
      <c r="G295" s="2" t="s">
        <v>48</v>
      </c>
      <c r="H295" s="2" t="n">
        <v>80</v>
      </c>
      <c r="I295" s="2" t="str">
        <f aca="true">IF(AND(G295&lt;&gt;"Done",E295&lt;TODAY()),"Overdue","")</f>
        <v>Overdue</v>
      </c>
    </row>
    <row r="296" customFormat="false" ht="15" hidden="false" customHeight="false" outlineLevel="0" collapsed="false">
      <c r="A296" s="2" t="n">
        <v>295</v>
      </c>
      <c r="B296" s="2" t="n">
        <v>13</v>
      </c>
      <c r="C296" s="2" t="s">
        <v>110</v>
      </c>
      <c r="D296" s="2" t="s">
        <v>160</v>
      </c>
      <c r="E296" s="8" t="n">
        <v>46170</v>
      </c>
      <c r="F296" s="8" t="n">
        <v>46168</v>
      </c>
      <c r="G296" s="2" t="s">
        <v>114</v>
      </c>
      <c r="H296" s="2" t="n">
        <v>40</v>
      </c>
      <c r="I296" s="2" t="str">
        <f aca="true">IF(AND(G296&lt;&gt;"Done",E296&lt;TODAY()),"Overdue","")</f>
        <v/>
      </c>
    </row>
    <row r="297" customFormat="false" ht="15" hidden="false" customHeight="false" outlineLevel="0" collapsed="false">
      <c r="A297" s="2" t="n">
        <v>296</v>
      </c>
      <c r="B297" s="2" t="n">
        <v>13</v>
      </c>
      <c r="C297" s="2" t="s">
        <v>89</v>
      </c>
      <c r="D297" s="2" t="s">
        <v>286</v>
      </c>
      <c r="E297" s="8" t="n">
        <v>45985</v>
      </c>
      <c r="F297" s="8" t="n">
        <v>45994</v>
      </c>
      <c r="G297" s="2" t="s">
        <v>114</v>
      </c>
      <c r="H297" s="2" t="n">
        <v>8</v>
      </c>
      <c r="I297" s="2" t="str">
        <f aca="true">IF(AND(G297&lt;&gt;"Done",E297&lt;TODAY()),"Overdue","")</f>
        <v/>
      </c>
    </row>
    <row r="298" customFormat="false" ht="15" hidden="false" customHeight="false" outlineLevel="0" collapsed="false">
      <c r="A298" s="2" t="n">
        <v>297</v>
      </c>
      <c r="B298" s="2" t="n">
        <v>13</v>
      </c>
      <c r="C298" s="2" t="s">
        <v>289</v>
      </c>
      <c r="D298" s="2" t="s">
        <v>90</v>
      </c>
      <c r="E298" s="8" t="n">
        <v>46053</v>
      </c>
      <c r="F298" s="8" t="n">
        <v>46053</v>
      </c>
      <c r="G298" s="2" t="s">
        <v>114</v>
      </c>
      <c r="H298" s="2" t="n">
        <v>80</v>
      </c>
      <c r="I298" s="2" t="str">
        <f aca="true">IF(AND(G298&lt;&gt;"Done",E298&lt;TODAY()),"Overdue","")</f>
        <v/>
      </c>
    </row>
    <row r="299" customFormat="false" ht="15" hidden="false" customHeight="false" outlineLevel="0" collapsed="false">
      <c r="A299" s="2" t="n">
        <v>298</v>
      </c>
      <c r="B299" s="2" t="n">
        <v>13</v>
      </c>
      <c r="C299" s="2" t="s">
        <v>300</v>
      </c>
      <c r="D299" s="2" t="s">
        <v>151</v>
      </c>
      <c r="E299" s="8" t="n">
        <v>45991</v>
      </c>
      <c r="F299" s="8"/>
      <c r="G299" s="2" t="s">
        <v>48</v>
      </c>
      <c r="H299" s="2" t="n">
        <v>8</v>
      </c>
      <c r="I299" s="2" t="str">
        <f aca="true">IF(AND(G299&lt;&gt;"Done",E299&lt;TODAY()),"Overdue","")</f>
        <v>Overdue</v>
      </c>
    </row>
    <row r="300" customFormat="false" ht="15" hidden="false" customHeight="false" outlineLevel="0" collapsed="false">
      <c r="A300" s="2" t="n">
        <v>299</v>
      </c>
      <c r="B300" s="2" t="n">
        <v>13</v>
      </c>
      <c r="C300" s="2" t="s">
        <v>124</v>
      </c>
      <c r="D300" s="2" t="s">
        <v>135</v>
      </c>
      <c r="E300" s="8" t="n">
        <v>46131</v>
      </c>
      <c r="F300" s="8"/>
      <c r="G300" s="2" t="s">
        <v>48</v>
      </c>
      <c r="H300" s="2" t="n">
        <v>60</v>
      </c>
      <c r="I300" s="2" t="str">
        <f aca="true">IF(AND(G300&lt;&gt;"Done",E300&lt;TODAY()),"Overdue","")</f>
        <v>Overdue</v>
      </c>
    </row>
    <row r="301" customFormat="false" ht="15" hidden="false" customHeight="false" outlineLevel="0" collapsed="false">
      <c r="A301" s="2" t="n">
        <v>300</v>
      </c>
      <c r="B301" s="2" t="n">
        <v>13</v>
      </c>
      <c r="C301" s="2" t="s">
        <v>258</v>
      </c>
      <c r="D301" s="2" t="s">
        <v>201</v>
      </c>
      <c r="E301" s="8" t="n">
        <v>46014</v>
      </c>
      <c r="F301" s="8" t="n">
        <v>46011</v>
      </c>
      <c r="G301" s="2" t="s">
        <v>114</v>
      </c>
      <c r="H301" s="2" t="n">
        <v>60</v>
      </c>
      <c r="I301" s="2" t="str">
        <f aca="true">IF(AND(G301&lt;&gt;"Done",E301&lt;TODAY()),"Overdue","")</f>
        <v/>
      </c>
    </row>
    <row r="302" customFormat="false" ht="15" hidden="false" customHeight="false" outlineLevel="0" collapsed="false">
      <c r="A302" s="2" t="n">
        <v>301</v>
      </c>
      <c r="B302" s="2" t="n">
        <v>13</v>
      </c>
      <c r="C302" s="2" t="s">
        <v>182</v>
      </c>
      <c r="D302" s="2" t="s">
        <v>44</v>
      </c>
      <c r="E302" s="8" t="n">
        <v>46125</v>
      </c>
      <c r="F302" s="8"/>
      <c r="G302" s="2" t="s">
        <v>48</v>
      </c>
      <c r="H302" s="2" t="n">
        <v>80</v>
      </c>
      <c r="I302" s="2" t="str">
        <f aca="true">IF(AND(G302&lt;&gt;"Done",E302&lt;TODAY()),"Overdue","")</f>
        <v>Overdue</v>
      </c>
    </row>
    <row r="303" customFormat="false" ht="15" hidden="false" customHeight="false" outlineLevel="0" collapsed="false">
      <c r="A303" s="2" t="n">
        <v>302</v>
      </c>
      <c r="B303" s="2" t="n">
        <v>13</v>
      </c>
      <c r="C303" s="2" t="s">
        <v>271</v>
      </c>
      <c r="D303" s="2" t="s">
        <v>175</v>
      </c>
      <c r="E303" s="8" t="n">
        <v>45978</v>
      </c>
      <c r="F303" s="8"/>
      <c r="G303" s="2" t="s">
        <v>88</v>
      </c>
      <c r="H303" s="2" t="n">
        <v>16</v>
      </c>
      <c r="I303" s="2" t="str">
        <f aca="true">IF(AND(G303&lt;&gt;"Done",E303&lt;TODAY()),"Overdue","")</f>
        <v>Overdue</v>
      </c>
    </row>
    <row r="304" customFormat="false" ht="15" hidden="false" customHeight="false" outlineLevel="0" collapsed="false">
      <c r="A304" s="2" t="n">
        <v>303</v>
      </c>
      <c r="B304" s="2" t="n">
        <v>13</v>
      </c>
      <c r="C304" s="2" t="s">
        <v>214</v>
      </c>
      <c r="D304" s="2" t="s">
        <v>201</v>
      </c>
      <c r="E304" s="8" t="n">
        <v>46137</v>
      </c>
      <c r="F304" s="8"/>
      <c r="G304" s="2" t="s">
        <v>88</v>
      </c>
      <c r="H304" s="2" t="n">
        <v>60</v>
      </c>
      <c r="I304" s="2" t="str">
        <f aca="true">IF(AND(G304&lt;&gt;"Done",E304&lt;TODAY()),"Overdue","")</f>
        <v>Overdue</v>
      </c>
    </row>
    <row r="305" customFormat="false" ht="15" hidden="false" customHeight="false" outlineLevel="0" collapsed="false">
      <c r="A305" s="2" t="n">
        <v>304</v>
      </c>
      <c r="B305" s="2" t="n">
        <v>14</v>
      </c>
      <c r="C305" s="2" t="s">
        <v>216</v>
      </c>
      <c r="D305" s="2" t="s">
        <v>103</v>
      </c>
      <c r="E305" s="8" t="n">
        <v>46177</v>
      </c>
      <c r="F305" s="8" t="n">
        <v>46187</v>
      </c>
      <c r="G305" s="2" t="s">
        <v>114</v>
      </c>
      <c r="H305" s="2" t="n">
        <v>24</v>
      </c>
      <c r="I305" s="2" t="str">
        <f aca="true">IF(AND(G305&lt;&gt;"Done",E305&lt;TODAY()),"Overdue","")</f>
        <v/>
      </c>
    </row>
    <row r="306" customFormat="false" ht="15" hidden="false" customHeight="false" outlineLevel="0" collapsed="false">
      <c r="A306" s="2" t="n">
        <v>305</v>
      </c>
      <c r="B306" s="2" t="n">
        <v>14</v>
      </c>
      <c r="C306" s="2" t="s">
        <v>301</v>
      </c>
      <c r="D306" s="2" t="s">
        <v>57</v>
      </c>
      <c r="E306" s="8" t="n">
        <v>46112</v>
      </c>
      <c r="F306" s="8" t="n">
        <v>46117</v>
      </c>
      <c r="G306" s="2" t="s">
        <v>114</v>
      </c>
      <c r="H306" s="2" t="n">
        <v>60</v>
      </c>
      <c r="I306" s="2" t="str">
        <f aca="true">IF(AND(G306&lt;&gt;"Done",E306&lt;TODAY()),"Overdue","")</f>
        <v/>
      </c>
    </row>
    <row r="307" customFormat="false" ht="15" hidden="false" customHeight="false" outlineLevel="0" collapsed="false">
      <c r="A307" s="2" t="n">
        <v>306</v>
      </c>
      <c r="B307" s="2" t="n">
        <v>14</v>
      </c>
      <c r="C307" s="2" t="s">
        <v>265</v>
      </c>
      <c r="D307" s="2" t="s">
        <v>116</v>
      </c>
      <c r="E307" s="8" t="n">
        <v>46065</v>
      </c>
      <c r="F307" s="8"/>
      <c r="G307" s="2" t="s">
        <v>88</v>
      </c>
      <c r="H307" s="2" t="n">
        <v>8</v>
      </c>
      <c r="I307" s="2" t="str">
        <f aca="true">IF(AND(G307&lt;&gt;"Done",E307&lt;TODAY()),"Overdue","")</f>
        <v>Overdue</v>
      </c>
    </row>
    <row r="308" customFormat="false" ht="15" hidden="false" customHeight="false" outlineLevel="0" collapsed="false">
      <c r="A308" s="2" t="n">
        <v>307</v>
      </c>
      <c r="B308" s="2" t="n">
        <v>14</v>
      </c>
      <c r="C308" s="2" t="s">
        <v>302</v>
      </c>
      <c r="D308" s="2" t="s">
        <v>144</v>
      </c>
      <c r="E308" s="8" t="n">
        <v>46137</v>
      </c>
      <c r="F308" s="8" t="n">
        <v>46140</v>
      </c>
      <c r="G308" s="2" t="s">
        <v>114</v>
      </c>
      <c r="H308" s="2" t="n">
        <v>60</v>
      </c>
      <c r="I308" s="2" t="str">
        <f aca="true">IF(AND(G308&lt;&gt;"Done",E308&lt;TODAY()),"Overdue","")</f>
        <v/>
      </c>
    </row>
    <row r="309" customFormat="false" ht="15" hidden="false" customHeight="false" outlineLevel="0" collapsed="false">
      <c r="A309" s="2" t="n">
        <v>308</v>
      </c>
      <c r="B309" s="2" t="n">
        <v>14</v>
      </c>
      <c r="C309" s="2" t="s">
        <v>141</v>
      </c>
      <c r="D309" s="2" t="s">
        <v>100</v>
      </c>
      <c r="E309" s="8" t="n">
        <v>46270</v>
      </c>
      <c r="F309" s="8" t="n">
        <v>46275</v>
      </c>
      <c r="G309" s="2" t="s">
        <v>114</v>
      </c>
      <c r="H309" s="2" t="n">
        <v>40</v>
      </c>
      <c r="I309" s="2" t="str">
        <f aca="true">IF(AND(G309&lt;&gt;"Done",E309&lt;TODAY()),"Overdue","")</f>
        <v/>
      </c>
    </row>
    <row r="310" customFormat="false" ht="15" hidden="false" customHeight="false" outlineLevel="0" collapsed="false">
      <c r="A310" s="2" t="n">
        <v>309</v>
      </c>
      <c r="B310" s="2" t="n">
        <v>14</v>
      </c>
      <c r="C310" s="2" t="s">
        <v>303</v>
      </c>
      <c r="D310" s="2" t="s">
        <v>99</v>
      </c>
      <c r="E310" s="8" t="n">
        <v>46193</v>
      </c>
      <c r="F310" s="8"/>
      <c r="G310" s="2" t="s">
        <v>88</v>
      </c>
      <c r="H310" s="2" t="n">
        <v>16</v>
      </c>
      <c r="I310" s="2" t="str">
        <f aca="true">IF(AND(G310&lt;&gt;"Done",E310&lt;TODAY()),"Overdue","")</f>
        <v/>
      </c>
    </row>
    <row r="311" customFormat="false" ht="15" hidden="false" customHeight="false" outlineLevel="0" collapsed="false">
      <c r="A311" s="2" t="n">
        <v>310</v>
      </c>
      <c r="B311" s="2" t="n">
        <v>14</v>
      </c>
      <c r="C311" s="2" t="s">
        <v>269</v>
      </c>
      <c r="D311" s="2" t="s">
        <v>90</v>
      </c>
      <c r="E311" s="8" t="n">
        <v>46165</v>
      </c>
      <c r="F311" s="8"/>
      <c r="G311" s="2" t="s">
        <v>48</v>
      </c>
      <c r="H311" s="2" t="n">
        <v>24</v>
      </c>
      <c r="I311" s="2" t="str">
        <f aca="true">IF(AND(G311&lt;&gt;"Done",E311&lt;TODAY()),"Overdue","")</f>
        <v/>
      </c>
    </row>
    <row r="312" customFormat="false" ht="15" hidden="false" customHeight="false" outlineLevel="0" collapsed="false">
      <c r="A312" s="2" t="n">
        <v>311</v>
      </c>
      <c r="B312" s="2" t="n">
        <v>14</v>
      </c>
      <c r="C312" s="2" t="s">
        <v>304</v>
      </c>
      <c r="D312" s="2" t="s">
        <v>175</v>
      </c>
      <c r="E312" s="8" t="n">
        <v>46207</v>
      </c>
      <c r="F312" s="8" t="n">
        <v>46205</v>
      </c>
      <c r="G312" s="2" t="s">
        <v>114</v>
      </c>
      <c r="H312" s="2" t="n">
        <v>60</v>
      </c>
      <c r="I312" s="2" t="str">
        <f aca="true">IF(AND(G312&lt;&gt;"Done",E312&lt;TODAY()),"Overdue","")</f>
        <v/>
      </c>
    </row>
    <row r="313" customFormat="false" ht="15" hidden="false" customHeight="false" outlineLevel="0" collapsed="false">
      <c r="A313" s="2" t="n">
        <v>312</v>
      </c>
      <c r="B313" s="2" t="n">
        <v>14</v>
      </c>
      <c r="C313" s="2" t="s">
        <v>305</v>
      </c>
      <c r="D313" s="2" t="s">
        <v>135</v>
      </c>
      <c r="E313" s="8" t="n">
        <v>46130</v>
      </c>
      <c r="F313" s="8"/>
      <c r="G313" s="2" t="s">
        <v>88</v>
      </c>
      <c r="H313" s="2" t="n">
        <v>24</v>
      </c>
      <c r="I313" s="2" t="str">
        <f aca="true">IF(AND(G313&lt;&gt;"Done",E313&lt;TODAY()),"Overdue","")</f>
        <v>Overdue</v>
      </c>
    </row>
    <row r="314" customFormat="false" ht="15" hidden="false" customHeight="false" outlineLevel="0" collapsed="false">
      <c r="A314" s="2" t="n">
        <v>313</v>
      </c>
      <c r="B314" s="2" t="n">
        <v>14</v>
      </c>
      <c r="C314" s="2" t="s">
        <v>164</v>
      </c>
      <c r="D314" s="2" t="s">
        <v>162</v>
      </c>
      <c r="E314" s="8" t="n">
        <v>46177</v>
      </c>
      <c r="F314" s="8" t="n">
        <v>46185</v>
      </c>
      <c r="G314" s="2" t="s">
        <v>114</v>
      </c>
      <c r="H314" s="2" t="n">
        <v>40</v>
      </c>
      <c r="I314" s="2" t="str">
        <f aca="true">IF(AND(G314&lt;&gt;"Done",E314&lt;TODAY()),"Overdue","")</f>
        <v/>
      </c>
    </row>
    <row r="315" customFormat="false" ht="15" hidden="false" customHeight="false" outlineLevel="0" collapsed="false">
      <c r="A315" s="2" t="n">
        <v>314</v>
      </c>
      <c r="B315" s="2" t="n">
        <v>14</v>
      </c>
      <c r="C315" s="2" t="s">
        <v>248</v>
      </c>
      <c r="D315" s="2" t="s">
        <v>105</v>
      </c>
      <c r="E315" s="8" t="n">
        <v>46167</v>
      </c>
      <c r="F315" s="8"/>
      <c r="G315" s="2" t="s">
        <v>101</v>
      </c>
      <c r="H315" s="2" t="n">
        <v>4</v>
      </c>
      <c r="I315" s="2" t="str">
        <f aca="true">IF(AND(G315&lt;&gt;"Done",E315&lt;TODAY()),"Overdue","")</f>
        <v/>
      </c>
    </row>
    <row r="316" customFormat="false" ht="15" hidden="false" customHeight="false" outlineLevel="0" collapsed="false">
      <c r="A316" s="2" t="n">
        <v>315</v>
      </c>
      <c r="B316" s="2" t="n">
        <v>14</v>
      </c>
      <c r="C316" s="2" t="s">
        <v>306</v>
      </c>
      <c r="D316" s="2" t="s">
        <v>95</v>
      </c>
      <c r="E316" s="8" t="n">
        <v>46062</v>
      </c>
      <c r="F316" s="8" t="n">
        <v>46070</v>
      </c>
      <c r="G316" s="2" t="s">
        <v>114</v>
      </c>
      <c r="H316" s="2" t="n">
        <v>80</v>
      </c>
      <c r="I316" s="2" t="str">
        <f aca="true">IF(AND(G316&lt;&gt;"Done",E316&lt;TODAY()),"Overdue","")</f>
        <v/>
      </c>
    </row>
    <row r="317" customFormat="false" ht="15" hidden="false" customHeight="false" outlineLevel="0" collapsed="false">
      <c r="A317" s="2" t="n">
        <v>316</v>
      </c>
      <c r="B317" s="2" t="n">
        <v>14</v>
      </c>
      <c r="C317" s="2" t="s">
        <v>255</v>
      </c>
      <c r="D317" s="2" t="s">
        <v>148</v>
      </c>
      <c r="E317" s="8" t="n">
        <v>46077</v>
      </c>
      <c r="F317" s="8" t="n">
        <v>46078</v>
      </c>
      <c r="G317" s="2" t="s">
        <v>114</v>
      </c>
      <c r="H317" s="2" t="n">
        <v>24</v>
      </c>
      <c r="I317" s="2" t="str">
        <f aca="true">IF(AND(G317&lt;&gt;"Done",E317&lt;TODAY()),"Overdue","")</f>
        <v/>
      </c>
    </row>
    <row r="318" customFormat="false" ht="15" hidden="false" customHeight="false" outlineLevel="0" collapsed="false">
      <c r="A318" s="2" t="n">
        <v>317</v>
      </c>
      <c r="B318" s="2" t="n">
        <v>14</v>
      </c>
      <c r="C318" s="2" t="s">
        <v>242</v>
      </c>
      <c r="D318" s="2" t="s">
        <v>146</v>
      </c>
      <c r="E318" s="8" t="n">
        <v>46143</v>
      </c>
      <c r="F318" s="8"/>
      <c r="G318" s="2" t="s">
        <v>88</v>
      </c>
      <c r="H318" s="2" t="n">
        <v>8</v>
      </c>
      <c r="I318" s="2" t="str">
        <f aca="true">IF(AND(G318&lt;&gt;"Done",E318&lt;TODAY()),"Overdue","")</f>
        <v>Overdue</v>
      </c>
    </row>
    <row r="319" customFormat="false" ht="15" hidden="false" customHeight="false" outlineLevel="0" collapsed="false">
      <c r="A319" s="2" t="n">
        <v>318</v>
      </c>
      <c r="B319" s="2" t="n">
        <v>14</v>
      </c>
      <c r="C319" s="2" t="s">
        <v>270</v>
      </c>
      <c r="D319" s="2" t="s">
        <v>194</v>
      </c>
      <c r="E319" s="8" t="n">
        <v>46142</v>
      </c>
      <c r="F319" s="8" t="n">
        <v>46137</v>
      </c>
      <c r="G319" s="2" t="s">
        <v>114</v>
      </c>
      <c r="H319" s="2" t="n">
        <v>80</v>
      </c>
      <c r="I319" s="2" t="str">
        <f aca="true">IF(AND(G319&lt;&gt;"Done",E319&lt;TODAY()),"Overdue","")</f>
        <v/>
      </c>
    </row>
    <row r="320" customFormat="false" ht="15" hidden="false" customHeight="false" outlineLevel="0" collapsed="false">
      <c r="A320" s="2" t="n">
        <v>319</v>
      </c>
      <c r="B320" s="2" t="n">
        <v>15</v>
      </c>
      <c r="C320" s="2" t="s">
        <v>307</v>
      </c>
      <c r="D320" s="2" t="s">
        <v>192</v>
      </c>
      <c r="E320" s="8" t="n">
        <v>46117</v>
      </c>
      <c r="F320" s="8"/>
      <c r="G320" s="2" t="s">
        <v>48</v>
      </c>
      <c r="H320" s="2" t="n">
        <v>24</v>
      </c>
      <c r="I320" s="2" t="str">
        <f aca="true">IF(AND(G320&lt;&gt;"Done",E320&lt;TODAY()),"Overdue","")</f>
        <v>Overdue</v>
      </c>
    </row>
    <row r="321" customFormat="false" ht="15" hidden="false" customHeight="false" outlineLevel="0" collapsed="false">
      <c r="A321" s="2" t="n">
        <v>320</v>
      </c>
      <c r="B321" s="2" t="n">
        <v>15</v>
      </c>
      <c r="C321" s="2" t="s">
        <v>262</v>
      </c>
      <c r="D321" s="2" t="s">
        <v>148</v>
      </c>
      <c r="E321" s="8" t="n">
        <v>46053</v>
      </c>
      <c r="F321" s="8" t="n">
        <v>46056</v>
      </c>
      <c r="G321" s="2" t="s">
        <v>114</v>
      </c>
      <c r="H321" s="2" t="n">
        <v>8</v>
      </c>
      <c r="I321" s="2" t="str">
        <f aca="true">IF(AND(G321&lt;&gt;"Done",E321&lt;TODAY()),"Overdue","")</f>
        <v/>
      </c>
    </row>
    <row r="322" customFormat="false" ht="15" hidden="false" customHeight="false" outlineLevel="0" collapsed="false">
      <c r="A322" s="2" t="n">
        <v>321</v>
      </c>
      <c r="B322" s="2" t="n">
        <v>15</v>
      </c>
      <c r="C322" s="2" t="s">
        <v>270</v>
      </c>
      <c r="D322" s="2" t="s">
        <v>44</v>
      </c>
      <c r="E322" s="8" t="n">
        <v>46008</v>
      </c>
      <c r="F322" s="8"/>
      <c r="G322" s="2" t="s">
        <v>48</v>
      </c>
      <c r="H322" s="2" t="n">
        <v>4</v>
      </c>
      <c r="I322" s="2" t="str">
        <f aca="true">IF(AND(G322&lt;&gt;"Done",E322&lt;TODAY()),"Overdue","")</f>
        <v>Overdue</v>
      </c>
    </row>
    <row r="323" customFormat="false" ht="15" hidden="false" customHeight="false" outlineLevel="0" collapsed="false">
      <c r="A323" s="2" t="n">
        <v>322</v>
      </c>
      <c r="B323" s="2" t="n">
        <v>15</v>
      </c>
      <c r="C323" s="2" t="s">
        <v>112</v>
      </c>
      <c r="D323" s="2" t="s">
        <v>204</v>
      </c>
      <c r="E323" s="8" t="n">
        <v>45967</v>
      </c>
      <c r="F323" s="8"/>
      <c r="G323" s="2" t="s">
        <v>88</v>
      </c>
      <c r="H323" s="2" t="n">
        <v>40</v>
      </c>
      <c r="I323" s="2" t="str">
        <f aca="true">IF(AND(G323&lt;&gt;"Done",E323&lt;TODAY()),"Overdue","")</f>
        <v>Overdue</v>
      </c>
    </row>
    <row r="324" customFormat="false" ht="15" hidden="false" customHeight="false" outlineLevel="0" collapsed="false">
      <c r="A324" s="2" t="n">
        <v>323</v>
      </c>
      <c r="B324" s="2" t="n">
        <v>15</v>
      </c>
      <c r="C324" s="2" t="s">
        <v>244</v>
      </c>
      <c r="D324" s="2" t="s">
        <v>229</v>
      </c>
      <c r="E324" s="8" t="n">
        <v>46074</v>
      </c>
      <c r="F324" s="8"/>
      <c r="G324" s="2" t="s">
        <v>88</v>
      </c>
      <c r="H324" s="2" t="n">
        <v>16</v>
      </c>
      <c r="I324" s="2" t="str">
        <f aca="true">IF(AND(G324&lt;&gt;"Done",E324&lt;TODAY()),"Overdue","")</f>
        <v>Overdue</v>
      </c>
    </row>
    <row r="325" customFormat="false" ht="15" hidden="false" customHeight="false" outlineLevel="0" collapsed="false">
      <c r="A325" s="2" t="n">
        <v>324</v>
      </c>
      <c r="B325" s="2" t="n">
        <v>15</v>
      </c>
      <c r="C325" s="2" t="s">
        <v>292</v>
      </c>
      <c r="D325" s="2" t="s">
        <v>97</v>
      </c>
      <c r="E325" s="8" t="n">
        <v>46114</v>
      </c>
      <c r="F325" s="8"/>
      <c r="G325" s="2" t="s">
        <v>88</v>
      </c>
      <c r="H325" s="2" t="n">
        <v>80</v>
      </c>
      <c r="I325" s="2" t="str">
        <f aca="true">IF(AND(G325&lt;&gt;"Done",E325&lt;TODAY()),"Overdue","")</f>
        <v>Overdue</v>
      </c>
    </row>
    <row r="326" customFormat="false" ht="15" hidden="false" customHeight="false" outlineLevel="0" collapsed="false">
      <c r="A326" s="2" t="n">
        <v>325</v>
      </c>
      <c r="B326" s="2" t="n">
        <v>15</v>
      </c>
      <c r="C326" s="2" t="s">
        <v>282</v>
      </c>
      <c r="D326" s="2" t="s">
        <v>135</v>
      </c>
      <c r="E326" s="8" t="n">
        <v>46034</v>
      </c>
      <c r="F326" s="8"/>
      <c r="G326" s="2" t="s">
        <v>48</v>
      </c>
      <c r="H326" s="2" t="n">
        <v>40</v>
      </c>
      <c r="I326" s="2" t="str">
        <f aca="true">IF(AND(G326&lt;&gt;"Done",E326&lt;TODAY()),"Overdue","")</f>
        <v>Overdue</v>
      </c>
    </row>
    <row r="327" customFormat="false" ht="15" hidden="false" customHeight="false" outlineLevel="0" collapsed="false">
      <c r="A327" s="2" t="n">
        <v>326</v>
      </c>
      <c r="B327" s="2" t="n">
        <v>15</v>
      </c>
      <c r="C327" s="2" t="s">
        <v>301</v>
      </c>
      <c r="D327" s="2" t="s">
        <v>47</v>
      </c>
      <c r="E327" s="8" t="n">
        <v>46083</v>
      </c>
      <c r="F327" s="8"/>
      <c r="G327" s="2" t="s">
        <v>48</v>
      </c>
      <c r="H327" s="2" t="n">
        <v>16</v>
      </c>
      <c r="I327" s="2" t="str">
        <f aca="true">IF(AND(G327&lt;&gt;"Done",E327&lt;TODAY()),"Overdue","")</f>
        <v>Overdue</v>
      </c>
    </row>
    <row r="328" customFormat="false" ht="15" hidden="false" customHeight="false" outlineLevel="0" collapsed="false">
      <c r="A328" s="2" t="n">
        <v>327</v>
      </c>
      <c r="B328" s="2" t="n">
        <v>15</v>
      </c>
      <c r="C328" s="2" t="s">
        <v>292</v>
      </c>
      <c r="D328" s="2" t="s">
        <v>103</v>
      </c>
      <c r="E328" s="8" t="n">
        <v>46042</v>
      </c>
      <c r="F328" s="8"/>
      <c r="G328" s="2" t="s">
        <v>48</v>
      </c>
      <c r="H328" s="2" t="n">
        <v>80</v>
      </c>
      <c r="I328" s="2" t="str">
        <f aca="true">IF(AND(G328&lt;&gt;"Done",E328&lt;TODAY()),"Overdue","")</f>
        <v>Overdue</v>
      </c>
    </row>
    <row r="329" customFormat="false" ht="15" hidden="false" customHeight="false" outlineLevel="0" collapsed="false">
      <c r="A329" s="2" t="n">
        <v>328</v>
      </c>
      <c r="B329" s="2" t="n">
        <v>15</v>
      </c>
      <c r="C329" s="2" t="s">
        <v>147</v>
      </c>
      <c r="D329" s="2" t="s">
        <v>165</v>
      </c>
      <c r="E329" s="8" t="n">
        <v>46119</v>
      </c>
      <c r="F329" s="8"/>
      <c r="G329" s="2" t="s">
        <v>88</v>
      </c>
      <c r="H329" s="2" t="n">
        <v>80</v>
      </c>
      <c r="I329" s="2" t="str">
        <f aca="true">IF(AND(G329&lt;&gt;"Done",E329&lt;TODAY()),"Overdue","")</f>
        <v>Overdue</v>
      </c>
    </row>
    <row r="330" customFormat="false" ht="15" hidden="false" customHeight="false" outlineLevel="0" collapsed="false">
      <c r="A330" s="2" t="n">
        <v>329</v>
      </c>
      <c r="B330" s="2" t="n">
        <v>15</v>
      </c>
      <c r="C330" s="2" t="s">
        <v>308</v>
      </c>
      <c r="D330" s="2" t="s">
        <v>121</v>
      </c>
      <c r="E330" s="8" t="n">
        <v>46106</v>
      </c>
      <c r="F330" s="8"/>
      <c r="G330" s="2" t="s">
        <v>48</v>
      </c>
      <c r="H330" s="2" t="n">
        <v>24</v>
      </c>
      <c r="I330" s="2" t="str">
        <f aca="true">IF(AND(G330&lt;&gt;"Done",E330&lt;TODAY()),"Overdue","")</f>
        <v>Overdue</v>
      </c>
    </row>
    <row r="331" customFormat="false" ht="15" hidden="false" customHeight="false" outlineLevel="0" collapsed="false">
      <c r="A331" s="2" t="n">
        <v>330</v>
      </c>
      <c r="B331" s="2" t="n">
        <v>15</v>
      </c>
      <c r="C331" s="2" t="s">
        <v>203</v>
      </c>
      <c r="D331" s="2" t="s">
        <v>107</v>
      </c>
      <c r="E331" s="8" t="n">
        <v>46001</v>
      </c>
      <c r="F331" s="8"/>
      <c r="G331" s="2" t="s">
        <v>48</v>
      </c>
      <c r="H331" s="2" t="n">
        <v>80</v>
      </c>
      <c r="I331" s="2" t="str">
        <f aca="true">IF(AND(G331&lt;&gt;"Done",E331&lt;TODAY()),"Overdue","")</f>
        <v>Overdue</v>
      </c>
    </row>
    <row r="332" customFormat="false" ht="15" hidden="false" customHeight="false" outlineLevel="0" collapsed="false">
      <c r="A332" s="2" t="n">
        <v>331</v>
      </c>
      <c r="B332" s="2" t="n">
        <v>15</v>
      </c>
      <c r="C332" s="2" t="s">
        <v>134</v>
      </c>
      <c r="D332" s="2" t="s">
        <v>44</v>
      </c>
      <c r="E332" s="8" t="n">
        <v>46055</v>
      </c>
      <c r="F332" s="8"/>
      <c r="G332" s="2" t="s">
        <v>88</v>
      </c>
      <c r="H332" s="2" t="n">
        <v>40</v>
      </c>
      <c r="I332" s="2" t="str">
        <f aca="true">IF(AND(G332&lt;&gt;"Done",E332&lt;TODAY()),"Overdue","")</f>
        <v>Overdue</v>
      </c>
    </row>
    <row r="333" customFormat="false" ht="15" hidden="false" customHeight="false" outlineLevel="0" collapsed="false">
      <c r="A333" s="2" t="n">
        <v>332</v>
      </c>
      <c r="B333" s="2" t="n">
        <v>15</v>
      </c>
      <c r="C333" s="2" t="s">
        <v>309</v>
      </c>
      <c r="D333" s="2" t="s">
        <v>111</v>
      </c>
      <c r="E333" s="8" t="n">
        <v>45986</v>
      </c>
      <c r="F333" s="8"/>
      <c r="G333" s="2" t="s">
        <v>88</v>
      </c>
      <c r="H333" s="2" t="n">
        <v>8</v>
      </c>
      <c r="I333" s="2" t="str">
        <f aca="true">IF(AND(G333&lt;&gt;"Done",E333&lt;TODAY()),"Overdue","")</f>
        <v>Overdue</v>
      </c>
    </row>
    <row r="334" customFormat="false" ht="15" hidden="false" customHeight="false" outlineLevel="0" collapsed="false">
      <c r="A334" s="2" t="n">
        <v>333</v>
      </c>
      <c r="B334" s="2" t="n">
        <v>15</v>
      </c>
      <c r="C334" s="2" t="s">
        <v>270</v>
      </c>
      <c r="D334" s="2" t="s">
        <v>107</v>
      </c>
      <c r="E334" s="8" t="n">
        <v>46063</v>
      </c>
      <c r="F334" s="8"/>
      <c r="G334" s="2" t="s">
        <v>48</v>
      </c>
      <c r="H334" s="2" t="n">
        <v>40</v>
      </c>
      <c r="I334" s="2" t="str">
        <f aca="true">IF(AND(G334&lt;&gt;"Done",E334&lt;TODAY()),"Overdue","")</f>
        <v>Overdue</v>
      </c>
    </row>
    <row r="335" customFormat="false" ht="15" hidden="false" customHeight="false" outlineLevel="0" collapsed="false">
      <c r="A335" s="2" t="n">
        <v>334</v>
      </c>
      <c r="B335" s="2" t="n">
        <v>15</v>
      </c>
      <c r="C335" s="2" t="s">
        <v>108</v>
      </c>
      <c r="D335" s="2" t="s">
        <v>251</v>
      </c>
      <c r="E335" s="8" t="n">
        <v>46078</v>
      </c>
      <c r="F335" s="8" t="n">
        <v>46072</v>
      </c>
      <c r="G335" s="2" t="s">
        <v>114</v>
      </c>
      <c r="H335" s="2" t="n">
        <v>8</v>
      </c>
      <c r="I335" s="2" t="str">
        <f aca="true">IF(AND(G335&lt;&gt;"Done",E335&lt;TODAY()),"Overdue","")</f>
        <v/>
      </c>
    </row>
    <row r="336" customFormat="false" ht="15" hidden="false" customHeight="false" outlineLevel="0" collapsed="false">
      <c r="A336" s="2" t="n">
        <v>335</v>
      </c>
      <c r="B336" s="2" t="n">
        <v>15</v>
      </c>
      <c r="C336" s="2" t="s">
        <v>218</v>
      </c>
      <c r="D336" s="2" t="s">
        <v>251</v>
      </c>
      <c r="E336" s="8" t="n">
        <v>46101</v>
      </c>
      <c r="F336" s="8"/>
      <c r="G336" s="2" t="s">
        <v>88</v>
      </c>
      <c r="H336" s="2" t="n">
        <v>24</v>
      </c>
      <c r="I336" s="2" t="str">
        <f aca="true">IF(AND(G336&lt;&gt;"Done",E336&lt;TODAY()),"Overdue","")</f>
        <v>Overdue</v>
      </c>
    </row>
    <row r="337" customFormat="false" ht="15" hidden="false" customHeight="false" outlineLevel="0" collapsed="false">
      <c r="A337" s="2" t="n">
        <v>336</v>
      </c>
      <c r="B337" s="2" t="n">
        <v>15</v>
      </c>
      <c r="C337" s="2" t="s">
        <v>199</v>
      </c>
      <c r="D337" s="2" t="s">
        <v>37</v>
      </c>
      <c r="E337" s="8" t="n">
        <v>46038</v>
      </c>
      <c r="F337" s="8"/>
      <c r="G337" s="2" t="s">
        <v>101</v>
      </c>
      <c r="H337" s="2" t="n">
        <v>16</v>
      </c>
      <c r="I337" s="2" t="str">
        <f aca="true">IF(AND(G337&lt;&gt;"Done",E337&lt;TODAY()),"Overdue","")</f>
        <v>Overdue</v>
      </c>
    </row>
    <row r="338" customFormat="false" ht="15" hidden="false" customHeight="false" outlineLevel="0" collapsed="false">
      <c r="A338" s="2" t="n">
        <v>337</v>
      </c>
      <c r="B338" s="2" t="n">
        <v>15</v>
      </c>
      <c r="C338" s="2" t="s">
        <v>310</v>
      </c>
      <c r="D338" s="2" t="s">
        <v>123</v>
      </c>
      <c r="E338" s="8" t="n">
        <v>46097</v>
      </c>
      <c r="F338" s="8"/>
      <c r="G338" s="2" t="s">
        <v>88</v>
      </c>
      <c r="H338" s="2" t="n">
        <v>60</v>
      </c>
      <c r="I338" s="2" t="str">
        <f aca="true">IF(AND(G338&lt;&gt;"Done",E338&lt;TODAY()),"Overdue","")</f>
        <v>Overdue</v>
      </c>
    </row>
    <row r="339" customFormat="false" ht="15" hidden="false" customHeight="false" outlineLevel="0" collapsed="false">
      <c r="A339" s="2" t="n">
        <v>338</v>
      </c>
      <c r="B339" s="2" t="n">
        <v>15</v>
      </c>
      <c r="C339" s="2" t="s">
        <v>274</v>
      </c>
      <c r="D339" s="2" t="s">
        <v>131</v>
      </c>
      <c r="E339" s="8" t="n">
        <v>46122</v>
      </c>
      <c r="F339" s="8" t="n">
        <v>46123</v>
      </c>
      <c r="G339" s="2" t="s">
        <v>114</v>
      </c>
      <c r="H339" s="2" t="n">
        <v>8</v>
      </c>
      <c r="I339" s="2" t="str">
        <f aca="true">IF(AND(G339&lt;&gt;"Done",E339&lt;TODAY()),"Overdue","")</f>
        <v/>
      </c>
    </row>
    <row r="340" customFormat="false" ht="15" hidden="false" customHeight="false" outlineLevel="0" collapsed="false">
      <c r="A340" s="2" t="n">
        <v>339</v>
      </c>
      <c r="B340" s="2" t="n">
        <v>15</v>
      </c>
      <c r="C340" s="2" t="s">
        <v>159</v>
      </c>
      <c r="D340" s="2" t="s">
        <v>107</v>
      </c>
      <c r="E340" s="8" t="n">
        <v>46029</v>
      </c>
      <c r="F340" s="8"/>
      <c r="G340" s="2" t="s">
        <v>48</v>
      </c>
      <c r="H340" s="2" t="n">
        <v>16</v>
      </c>
      <c r="I340" s="2" t="str">
        <f aca="true">IF(AND(G340&lt;&gt;"Done",E340&lt;TODAY()),"Overdue","")</f>
        <v>Overdue</v>
      </c>
    </row>
    <row r="341" customFormat="false" ht="15" hidden="false" customHeight="false" outlineLevel="0" collapsed="false">
      <c r="A341" s="2" t="n">
        <v>340</v>
      </c>
      <c r="B341" s="2" t="n">
        <v>15</v>
      </c>
      <c r="C341" s="2" t="s">
        <v>309</v>
      </c>
      <c r="D341" s="2" t="s">
        <v>204</v>
      </c>
      <c r="E341" s="8" t="n">
        <v>46011</v>
      </c>
      <c r="F341" s="8"/>
      <c r="G341" s="2" t="s">
        <v>48</v>
      </c>
      <c r="H341" s="2" t="n">
        <v>16</v>
      </c>
      <c r="I341" s="2" t="str">
        <f aca="true">IF(AND(G341&lt;&gt;"Done",E341&lt;TODAY()),"Overdue","")</f>
        <v>Overdue</v>
      </c>
    </row>
    <row r="342" customFormat="false" ht="15" hidden="false" customHeight="false" outlineLevel="0" collapsed="false">
      <c r="A342" s="2" t="n">
        <v>341</v>
      </c>
      <c r="B342" s="2" t="n">
        <v>15</v>
      </c>
      <c r="C342" s="2" t="s">
        <v>187</v>
      </c>
      <c r="D342" s="2" t="s">
        <v>151</v>
      </c>
      <c r="E342" s="8" t="n">
        <v>46101</v>
      </c>
      <c r="F342" s="8"/>
      <c r="G342" s="2" t="s">
        <v>101</v>
      </c>
      <c r="H342" s="2" t="n">
        <v>16</v>
      </c>
      <c r="I342" s="2" t="str">
        <f aca="true">IF(AND(G342&lt;&gt;"Done",E342&lt;TODAY()),"Overdue","")</f>
        <v>Overdue</v>
      </c>
    </row>
    <row r="343" customFormat="false" ht="15" hidden="false" customHeight="false" outlineLevel="0" collapsed="false">
      <c r="A343" s="2" t="n">
        <v>342</v>
      </c>
      <c r="B343" s="2" t="n">
        <v>16</v>
      </c>
      <c r="C343" s="2" t="s">
        <v>311</v>
      </c>
      <c r="D343" s="2" t="s">
        <v>162</v>
      </c>
      <c r="E343" s="8" t="n">
        <v>46035</v>
      </c>
      <c r="F343" s="8"/>
      <c r="G343" s="2" t="s">
        <v>48</v>
      </c>
      <c r="H343" s="2" t="n">
        <v>80</v>
      </c>
      <c r="I343" s="2" t="str">
        <f aca="true">IF(AND(G343&lt;&gt;"Done",E343&lt;TODAY()),"Overdue","")</f>
        <v>Overdue</v>
      </c>
    </row>
    <row r="344" customFormat="false" ht="15" hidden="false" customHeight="false" outlineLevel="0" collapsed="false">
      <c r="A344" s="2" t="n">
        <v>343</v>
      </c>
      <c r="B344" s="2" t="n">
        <v>16</v>
      </c>
      <c r="C344" s="2" t="s">
        <v>110</v>
      </c>
      <c r="D344" s="2" t="s">
        <v>90</v>
      </c>
      <c r="E344" s="8" t="n">
        <v>45977</v>
      </c>
      <c r="F344" s="8"/>
      <c r="G344" s="2" t="s">
        <v>101</v>
      </c>
      <c r="H344" s="2" t="n">
        <v>4</v>
      </c>
      <c r="I344" s="2" t="str">
        <f aca="true">IF(AND(G344&lt;&gt;"Done",E344&lt;TODAY()),"Overdue","")</f>
        <v>Overdue</v>
      </c>
    </row>
    <row r="345" customFormat="false" ht="15" hidden="false" customHeight="false" outlineLevel="0" collapsed="false">
      <c r="A345" s="2" t="n">
        <v>344</v>
      </c>
      <c r="B345" s="2" t="n">
        <v>16</v>
      </c>
      <c r="C345" s="2" t="s">
        <v>106</v>
      </c>
      <c r="D345" s="2" t="s">
        <v>194</v>
      </c>
      <c r="E345" s="8" t="n">
        <v>45962</v>
      </c>
      <c r="F345" s="8"/>
      <c r="G345" s="2" t="s">
        <v>101</v>
      </c>
      <c r="H345" s="2" t="n">
        <v>60</v>
      </c>
      <c r="I345" s="2" t="str">
        <f aca="true">IF(AND(G345&lt;&gt;"Done",E345&lt;TODAY()),"Overdue","")</f>
        <v>Overdue</v>
      </c>
    </row>
    <row r="346" customFormat="false" ht="15" hidden="false" customHeight="false" outlineLevel="0" collapsed="false">
      <c r="A346" s="2" t="n">
        <v>345</v>
      </c>
      <c r="B346" s="2" t="n">
        <v>16</v>
      </c>
      <c r="C346" s="2" t="s">
        <v>115</v>
      </c>
      <c r="D346" s="2" t="s">
        <v>37</v>
      </c>
      <c r="E346" s="8" t="n">
        <v>45954</v>
      </c>
      <c r="F346" s="8"/>
      <c r="G346" s="2" t="s">
        <v>48</v>
      </c>
      <c r="H346" s="2" t="n">
        <v>16</v>
      </c>
      <c r="I346" s="2" t="str">
        <f aca="true">IF(AND(G346&lt;&gt;"Done",E346&lt;TODAY()),"Overdue","")</f>
        <v>Overdue</v>
      </c>
    </row>
    <row r="347" customFormat="false" ht="15" hidden="false" customHeight="false" outlineLevel="0" collapsed="false">
      <c r="A347" s="2" t="n">
        <v>346</v>
      </c>
      <c r="B347" s="2" t="n">
        <v>16</v>
      </c>
      <c r="C347" s="2" t="s">
        <v>237</v>
      </c>
      <c r="D347" s="2" t="s">
        <v>201</v>
      </c>
      <c r="E347" s="8" t="n">
        <v>46032</v>
      </c>
      <c r="F347" s="8"/>
      <c r="G347" s="2" t="s">
        <v>48</v>
      </c>
      <c r="H347" s="2" t="n">
        <v>60</v>
      </c>
      <c r="I347" s="2" t="str">
        <f aca="true">IF(AND(G347&lt;&gt;"Done",E347&lt;TODAY()),"Overdue","")</f>
        <v>Overdue</v>
      </c>
    </row>
    <row r="348" customFormat="false" ht="15" hidden="false" customHeight="false" outlineLevel="0" collapsed="false">
      <c r="A348" s="2" t="n">
        <v>347</v>
      </c>
      <c r="B348" s="2" t="n">
        <v>16</v>
      </c>
      <c r="C348" s="2" t="s">
        <v>233</v>
      </c>
      <c r="D348" s="2" t="s">
        <v>251</v>
      </c>
      <c r="E348" s="8" t="n">
        <v>45950</v>
      </c>
      <c r="F348" s="8"/>
      <c r="G348" s="2" t="s">
        <v>88</v>
      </c>
      <c r="H348" s="2" t="n">
        <v>8</v>
      </c>
      <c r="I348" s="2" t="str">
        <f aca="true">IF(AND(G348&lt;&gt;"Done",E348&lt;TODAY()),"Overdue","")</f>
        <v>Overdue</v>
      </c>
    </row>
    <row r="349" customFormat="false" ht="15" hidden="false" customHeight="false" outlineLevel="0" collapsed="false">
      <c r="A349" s="2" t="n">
        <v>348</v>
      </c>
      <c r="B349" s="2" t="n">
        <v>16</v>
      </c>
      <c r="C349" s="2" t="s">
        <v>122</v>
      </c>
      <c r="D349" s="2" t="s">
        <v>51</v>
      </c>
      <c r="E349" s="8" t="n">
        <v>45948</v>
      </c>
      <c r="F349" s="8"/>
      <c r="G349" s="2" t="s">
        <v>88</v>
      </c>
      <c r="H349" s="2" t="n">
        <v>24</v>
      </c>
      <c r="I349" s="2" t="str">
        <f aca="true">IF(AND(G349&lt;&gt;"Done",E349&lt;TODAY()),"Overdue","")</f>
        <v>Overdue</v>
      </c>
    </row>
    <row r="350" customFormat="false" ht="15" hidden="false" customHeight="false" outlineLevel="0" collapsed="false">
      <c r="A350" s="2" t="n">
        <v>349</v>
      </c>
      <c r="B350" s="2" t="n">
        <v>16</v>
      </c>
      <c r="C350" s="2" t="s">
        <v>102</v>
      </c>
      <c r="D350" s="2" t="s">
        <v>146</v>
      </c>
      <c r="E350" s="8" t="n">
        <v>45914</v>
      </c>
      <c r="F350" s="8"/>
      <c r="G350" s="2" t="s">
        <v>48</v>
      </c>
      <c r="H350" s="2" t="n">
        <v>8</v>
      </c>
      <c r="I350" s="2" t="str">
        <f aca="true">IF(AND(G350&lt;&gt;"Done",E350&lt;TODAY()),"Overdue","")</f>
        <v>Overdue</v>
      </c>
    </row>
    <row r="351" customFormat="false" ht="15" hidden="false" customHeight="false" outlineLevel="0" collapsed="false">
      <c r="A351" s="2" t="n">
        <v>350</v>
      </c>
      <c r="B351" s="2" t="n">
        <v>16</v>
      </c>
      <c r="C351" s="2" t="s">
        <v>312</v>
      </c>
      <c r="D351" s="2" t="s">
        <v>204</v>
      </c>
      <c r="E351" s="8" t="n">
        <v>45993</v>
      </c>
      <c r="F351" s="8"/>
      <c r="G351" s="2" t="s">
        <v>48</v>
      </c>
      <c r="H351" s="2" t="n">
        <v>24</v>
      </c>
      <c r="I351" s="2" t="str">
        <f aca="true">IF(AND(G351&lt;&gt;"Done",E351&lt;TODAY()),"Overdue","")</f>
        <v>Overdue</v>
      </c>
    </row>
    <row r="352" customFormat="false" ht="15" hidden="false" customHeight="false" outlineLevel="0" collapsed="false">
      <c r="A352" s="2" t="n">
        <v>351</v>
      </c>
      <c r="B352" s="2" t="n">
        <v>16</v>
      </c>
      <c r="C352" s="2" t="s">
        <v>313</v>
      </c>
      <c r="D352" s="2" t="s">
        <v>165</v>
      </c>
      <c r="E352" s="8" t="n">
        <v>45940</v>
      </c>
      <c r="F352" s="8" t="n">
        <v>45942</v>
      </c>
      <c r="G352" s="2" t="s">
        <v>114</v>
      </c>
      <c r="H352" s="2" t="n">
        <v>4</v>
      </c>
      <c r="I352" s="2" t="str">
        <f aca="true">IF(AND(G352&lt;&gt;"Done",E352&lt;TODAY()),"Overdue","")</f>
        <v/>
      </c>
    </row>
    <row r="353" customFormat="false" ht="15" hidden="false" customHeight="false" outlineLevel="0" collapsed="false">
      <c r="A353" s="2" t="n">
        <v>352</v>
      </c>
      <c r="B353" s="2" t="n">
        <v>16</v>
      </c>
      <c r="C353" s="2" t="s">
        <v>314</v>
      </c>
      <c r="D353" s="2" t="s">
        <v>97</v>
      </c>
      <c r="E353" s="8" t="n">
        <v>45911</v>
      </c>
      <c r="F353" s="8"/>
      <c r="G353" s="2" t="s">
        <v>48</v>
      </c>
      <c r="H353" s="2" t="n">
        <v>60</v>
      </c>
      <c r="I353" s="2" t="str">
        <f aca="true">IF(AND(G353&lt;&gt;"Done",E353&lt;TODAY()),"Overdue","")</f>
        <v>Overdue</v>
      </c>
    </row>
    <row r="354" customFormat="false" ht="15" hidden="false" customHeight="false" outlineLevel="0" collapsed="false">
      <c r="A354" s="2" t="n">
        <v>353</v>
      </c>
      <c r="B354" s="2" t="n">
        <v>16</v>
      </c>
      <c r="C354" s="2" t="s">
        <v>311</v>
      </c>
      <c r="D354" s="2" t="s">
        <v>188</v>
      </c>
      <c r="E354" s="8" t="n">
        <v>45898</v>
      </c>
      <c r="F354" s="8" t="n">
        <v>45896</v>
      </c>
      <c r="G354" s="2" t="s">
        <v>114</v>
      </c>
      <c r="H354" s="2" t="n">
        <v>4</v>
      </c>
      <c r="I354" s="2" t="str">
        <f aca="true">IF(AND(G354&lt;&gt;"Done",E354&lt;TODAY()),"Overdue","")</f>
        <v/>
      </c>
    </row>
    <row r="355" customFormat="false" ht="15" hidden="false" customHeight="false" outlineLevel="0" collapsed="false">
      <c r="A355" s="2" t="n">
        <v>354</v>
      </c>
      <c r="B355" s="2" t="n">
        <v>16</v>
      </c>
      <c r="C355" s="2" t="s">
        <v>315</v>
      </c>
      <c r="D355" s="2" t="s">
        <v>90</v>
      </c>
      <c r="E355" s="8" t="n">
        <v>45990</v>
      </c>
      <c r="F355" s="8" t="n">
        <v>45988</v>
      </c>
      <c r="G355" s="2" t="s">
        <v>114</v>
      </c>
      <c r="H355" s="2" t="n">
        <v>4</v>
      </c>
      <c r="I355" s="2" t="str">
        <f aca="true">IF(AND(G355&lt;&gt;"Done",E355&lt;TODAY()),"Overdue","")</f>
        <v/>
      </c>
    </row>
    <row r="356" customFormat="false" ht="15" hidden="false" customHeight="false" outlineLevel="0" collapsed="false">
      <c r="A356" s="2" t="n">
        <v>355</v>
      </c>
      <c r="B356" s="2" t="n">
        <v>16</v>
      </c>
      <c r="C356" s="2" t="s">
        <v>316</v>
      </c>
      <c r="D356" s="2" t="s">
        <v>155</v>
      </c>
      <c r="E356" s="8" t="n">
        <v>45891</v>
      </c>
      <c r="F356" s="8"/>
      <c r="G356" s="2" t="s">
        <v>88</v>
      </c>
      <c r="H356" s="2" t="n">
        <v>16</v>
      </c>
      <c r="I356" s="2" t="str">
        <f aca="true">IF(AND(G356&lt;&gt;"Done",E356&lt;TODAY()),"Overdue","")</f>
        <v>Overdue</v>
      </c>
    </row>
    <row r="357" customFormat="false" ht="15" hidden="false" customHeight="false" outlineLevel="0" collapsed="false">
      <c r="A357" s="2" t="n">
        <v>356</v>
      </c>
      <c r="B357" s="2" t="n">
        <v>16</v>
      </c>
      <c r="C357" s="2" t="s">
        <v>185</v>
      </c>
      <c r="D357" s="2" t="s">
        <v>267</v>
      </c>
      <c r="E357" s="8" t="n">
        <v>46005</v>
      </c>
      <c r="F357" s="8"/>
      <c r="G357" s="2" t="s">
        <v>101</v>
      </c>
      <c r="H357" s="2" t="n">
        <v>8</v>
      </c>
      <c r="I357" s="2" t="str">
        <f aca="true">IF(AND(G357&lt;&gt;"Done",E357&lt;TODAY()),"Overdue","")</f>
        <v>Overdue</v>
      </c>
    </row>
    <row r="358" customFormat="false" ht="15" hidden="false" customHeight="false" outlineLevel="0" collapsed="false">
      <c r="A358" s="2" t="n">
        <v>357</v>
      </c>
      <c r="B358" s="2" t="n">
        <v>16</v>
      </c>
      <c r="C358" s="2" t="s">
        <v>268</v>
      </c>
      <c r="D358" s="2" t="s">
        <v>99</v>
      </c>
      <c r="E358" s="8" t="n">
        <v>46018</v>
      </c>
      <c r="F358" s="8"/>
      <c r="G358" s="2" t="s">
        <v>48</v>
      </c>
      <c r="H358" s="2" t="n">
        <v>16</v>
      </c>
      <c r="I358" s="2" t="str">
        <f aca="true">IF(AND(G358&lt;&gt;"Done",E358&lt;TODAY()),"Overdue","")</f>
        <v>Overdue</v>
      </c>
    </row>
    <row r="359" customFormat="false" ht="15" hidden="false" customHeight="false" outlineLevel="0" collapsed="false">
      <c r="A359" s="2" t="n">
        <v>358</v>
      </c>
      <c r="B359" s="2" t="n">
        <v>16</v>
      </c>
      <c r="C359" s="2" t="s">
        <v>317</v>
      </c>
      <c r="D359" s="2" t="s">
        <v>51</v>
      </c>
      <c r="E359" s="8" t="n">
        <v>45930</v>
      </c>
      <c r="F359" s="8"/>
      <c r="G359" s="2" t="s">
        <v>48</v>
      </c>
      <c r="H359" s="2" t="n">
        <v>8</v>
      </c>
      <c r="I359" s="2" t="str">
        <f aca="true">IF(AND(G359&lt;&gt;"Done",E359&lt;TODAY()),"Overdue","")</f>
        <v>Overdue</v>
      </c>
    </row>
    <row r="360" customFormat="false" ht="15" hidden="false" customHeight="false" outlineLevel="0" collapsed="false">
      <c r="A360" s="2" t="n">
        <v>359</v>
      </c>
      <c r="B360" s="2" t="n">
        <v>16</v>
      </c>
      <c r="C360" s="2" t="s">
        <v>230</v>
      </c>
      <c r="D360" s="2" t="s">
        <v>175</v>
      </c>
      <c r="E360" s="8" t="n">
        <v>45892</v>
      </c>
      <c r="F360" s="8"/>
      <c r="G360" s="2" t="s">
        <v>48</v>
      </c>
      <c r="H360" s="2" t="n">
        <v>60</v>
      </c>
      <c r="I360" s="2" t="str">
        <f aca="true">IF(AND(G360&lt;&gt;"Done",E360&lt;TODAY()),"Overdue","")</f>
        <v>Overdue</v>
      </c>
    </row>
    <row r="361" customFormat="false" ht="15" hidden="false" customHeight="false" outlineLevel="0" collapsed="false">
      <c r="A361" s="2" t="n">
        <v>360</v>
      </c>
      <c r="B361" s="2" t="n">
        <v>17</v>
      </c>
      <c r="C361" s="2" t="s">
        <v>156</v>
      </c>
      <c r="D361" s="2" t="s">
        <v>135</v>
      </c>
      <c r="E361" s="8" t="n">
        <v>46076</v>
      </c>
      <c r="F361" s="8" t="n">
        <v>46081</v>
      </c>
      <c r="G361" s="2" t="s">
        <v>114</v>
      </c>
      <c r="H361" s="2" t="n">
        <v>16</v>
      </c>
      <c r="I361" s="2" t="str">
        <f aca="true">IF(AND(G361&lt;&gt;"Done",E361&lt;TODAY()),"Overdue","")</f>
        <v/>
      </c>
    </row>
    <row r="362" customFormat="false" ht="15" hidden="false" customHeight="false" outlineLevel="0" collapsed="false">
      <c r="A362" s="2" t="n">
        <v>361</v>
      </c>
      <c r="B362" s="2" t="n">
        <v>17</v>
      </c>
      <c r="C362" s="2" t="s">
        <v>152</v>
      </c>
      <c r="D362" s="2" t="s">
        <v>204</v>
      </c>
      <c r="E362" s="8" t="n">
        <v>46065</v>
      </c>
      <c r="F362" s="8" t="n">
        <v>46061</v>
      </c>
      <c r="G362" s="2" t="s">
        <v>114</v>
      </c>
      <c r="H362" s="2" t="n">
        <v>16</v>
      </c>
      <c r="I362" s="2" t="str">
        <f aca="true">IF(AND(G362&lt;&gt;"Done",E362&lt;TODAY()),"Overdue","")</f>
        <v/>
      </c>
    </row>
    <row r="363" customFormat="false" ht="15" hidden="false" customHeight="false" outlineLevel="0" collapsed="false">
      <c r="A363" s="2" t="n">
        <v>362</v>
      </c>
      <c r="B363" s="2" t="n">
        <v>17</v>
      </c>
      <c r="C363" s="2" t="s">
        <v>223</v>
      </c>
      <c r="D363" s="2" t="s">
        <v>194</v>
      </c>
      <c r="E363" s="8" t="n">
        <v>46085</v>
      </c>
      <c r="F363" s="8"/>
      <c r="G363" s="2" t="s">
        <v>88</v>
      </c>
      <c r="H363" s="2" t="n">
        <v>80</v>
      </c>
      <c r="I363" s="2" t="str">
        <f aca="true">IF(AND(G363&lt;&gt;"Done",E363&lt;TODAY()),"Overdue","")</f>
        <v>Overdue</v>
      </c>
    </row>
    <row r="364" customFormat="false" ht="15" hidden="false" customHeight="false" outlineLevel="0" collapsed="false">
      <c r="A364" s="2" t="n">
        <v>363</v>
      </c>
      <c r="B364" s="2" t="n">
        <v>17</v>
      </c>
      <c r="C364" s="2" t="s">
        <v>261</v>
      </c>
      <c r="D364" s="2" t="s">
        <v>123</v>
      </c>
      <c r="E364" s="8" t="n">
        <v>46088</v>
      </c>
      <c r="F364" s="8"/>
      <c r="G364" s="2" t="s">
        <v>101</v>
      </c>
      <c r="H364" s="2" t="n">
        <v>40</v>
      </c>
      <c r="I364" s="2" t="str">
        <f aca="true">IF(AND(G364&lt;&gt;"Done",E364&lt;TODAY()),"Overdue","")</f>
        <v>Overdue</v>
      </c>
    </row>
    <row r="365" customFormat="false" ht="15" hidden="false" customHeight="false" outlineLevel="0" collapsed="false">
      <c r="A365" s="2" t="n">
        <v>364</v>
      </c>
      <c r="B365" s="2" t="n">
        <v>17</v>
      </c>
      <c r="C365" s="2" t="s">
        <v>184</v>
      </c>
      <c r="D365" s="2" t="s">
        <v>66</v>
      </c>
      <c r="E365" s="8" t="n">
        <v>46055</v>
      </c>
      <c r="F365" s="8" t="n">
        <v>46059</v>
      </c>
      <c r="G365" s="2" t="s">
        <v>114</v>
      </c>
      <c r="H365" s="2" t="n">
        <v>60</v>
      </c>
      <c r="I365" s="2" t="str">
        <f aca="true">IF(AND(G365&lt;&gt;"Done",E365&lt;TODAY()),"Overdue","")</f>
        <v/>
      </c>
    </row>
    <row r="366" customFormat="false" ht="15" hidden="false" customHeight="false" outlineLevel="0" collapsed="false">
      <c r="A366" s="2" t="n">
        <v>365</v>
      </c>
      <c r="B366" s="2" t="n">
        <v>17</v>
      </c>
      <c r="C366" s="2" t="s">
        <v>120</v>
      </c>
      <c r="D366" s="2" t="s">
        <v>135</v>
      </c>
      <c r="E366" s="8" t="n">
        <v>46069</v>
      </c>
      <c r="F366" s="8" t="n">
        <v>46067</v>
      </c>
      <c r="G366" s="2" t="s">
        <v>114</v>
      </c>
      <c r="H366" s="2" t="n">
        <v>60</v>
      </c>
      <c r="I366" s="2" t="str">
        <f aca="true">IF(AND(G366&lt;&gt;"Done",E366&lt;TODAY()),"Overdue","")</f>
        <v/>
      </c>
    </row>
    <row r="367" customFormat="false" ht="15" hidden="false" customHeight="false" outlineLevel="0" collapsed="false">
      <c r="A367" s="2" t="n">
        <v>366</v>
      </c>
      <c r="B367" s="2" t="n">
        <v>17</v>
      </c>
      <c r="C367" s="2" t="s">
        <v>233</v>
      </c>
      <c r="D367" s="2" t="s">
        <v>90</v>
      </c>
      <c r="E367" s="8" t="n">
        <v>46152</v>
      </c>
      <c r="F367" s="8" t="n">
        <v>46148</v>
      </c>
      <c r="G367" s="2" t="s">
        <v>114</v>
      </c>
      <c r="H367" s="2" t="n">
        <v>16</v>
      </c>
      <c r="I367" s="2" t="str">
        <f aca="true">IF(AND(G367&lt;&gt;"Done",E367&lt;TODAY()),"Overdue","")</f>
        <v/>
      </c>
    </row>
    <row r="368" customFormat="false" ht="15" hidden="false" customHeight="false" outlineLevel="0" collapsed="false">
      <c r="A368" s="2" t="n">
        <v>367</v>
      </c>
      <c r="B368" s="2" t="n">
        <v>17</v>
      </c>
      <c r="C368" s="2" t="s">
        <v>305</v>
      </c>
      <c r="D368" s="2" t="s">
        <v>222</v>
      </c>
      <c r="E368" s="8" t="n">
        <v>46132</v>
      </c>
      <c r="F368" s="8"/>
      <c r="G368" s="2" t="s">
        <v>48</v>
      </c>
      <c r="H368" s="2" t="n">
        <v>24</v>
      </c>
      <c r="I368" s="2" t="str">
        <f aca="true">IF(AND(G368&lt;&gt;"Done",E368&lt;TODAY()),"Overdue","")</f>
        <v>Overdue</v>
      </c>
    </row>
    <row r="369" customFormat="false" ht="15" hidden="false" customHeight="false" outlineLevel="0" collapsed="false">
      <c r="A369" s="2" t="n">
        <v>368</v>
      </c>
      <c r="B369" s="2" t="n">
        <v>17</v>
      </c>
      <c r="C369" s="2" t="s">
        <v>295</v>
      </c>
      <c r="D369" s="2" t="s">
        <v>113</v>
      </c>
      <c r="E369" s="8" t="n">
        <v>46149</v>
      </c>
      <c r="F369" s="8"/>
      <c r="G369" s="2" t="s">
        <v>101</v>
      </c>
      <c r="H369" s="2" t="n">
        <v>40</v>
      </c>
      <c r="I369" s="2" t="str">
        <f aca="true">IF(AND(G369&lt;&gt;"Done",E369&lt;TODAY()),"Overdue","")</f>
        <v/>
      </c>
    </row>
    <row r="370" customFormat="false" ht="15" hidden="false" customHeight="false" outlineLevel="0" collapsed="false">
      <c r="A370" s="2" t="n">
        <v>369</v>
      </c>
      <c r="B370" s="2" t="n">
        <v>17</v>
      </c>
      <c r="C370" s="2" t="s">
        <v>137</v>
      </c>
      <c r="D370" s="2" t="s">
        <v>138</v>
      </c>
      <c r="E370" s="8" t="n">
        <v>46114</v>
      </c>
      <c r="F370" s="8" t="n">
        <v>46113</v>
      </c>
      <c r="G370" s="2" t="s">
        <v>114</v>
      </c>
      <c r="H370" s="2" t="n">
        <v>80</v>
      </c>
      <c r="I370" s="2" t="str">
        <f aca="true">IF(AND(G370&lt;&gt;"Done",E370&lt;TODAY()),"Overdue","")</f>
        <v/>
      </c>
    </row>
    <row r="371" customFormat="false" ht="15" hidden="false" customHeight="false" outlineLevel="0" collapsed="false">
      <c r="A371" s="2" t="n">
        <v>370</v>
      </c>
      <c r="B371" s="2" t="n">
        <v>17</v>
      </c>
      <c r="C371" s="2" t="s">
        <v>209</v>
      </c>
      <c r="D371" s="2" t="s">
        <v>251</v>
      </c>
      <c r="E371" s="8" t="n">
        <v>46130</v>
      </c>
      <c r="F371" s="8" t="n">
        <v>46125</v>
      </c>
      <c r="G371" s="2" t="s">
        <v>114</v>
      </c>
      <c r="H371" s="2" t="n">
        <v>60</v>
      </c>
      <c r="I371" s="2" t="str">
        <f aca="true">IF(AND(G371&lt;&gt;"Done",E371&lt;TODAY()),"Overdue","")</f>
        <v/>
      </c>
    </row>
    <row r="372" customFormat="false" ht="15" hidden="false" customHeight="false" outlineLevel="0" collapsed="false">
      <c r="A372" s="2" t="n">
        <v>371</v>
      </c>
      <c r="B372" s="2" t="n">
        <v>17</v>
      </c>
      <c r="C372" s="2" t="s">
        <v>316</v>
      </c>
      <c r="D372" s="2" t="s">
        <v>66</v>
      </c>
      <c r="E372" s="8" t="n">
        <v>46100</v>
      </c>
      <c r="F372" s="8"/>
      <c r="G372" s="2" t="s">
        <v>88</v>
      </c>
      <c r="H372" s="2" t="n">
        <v>80</v>
      </c>
      <c r="I372" s="2" t="str">
        <f aca="true">IF(AND(G372&lt;&gt;"Done",E372&lt;TODAY()),"Overdue","")</f>
        <v>Overdue</v>
      </c>
    </row>
    <row r="373" customFormat="false" ht="15" hidden="false" customHeight="false" outlineLevel="0" collapsed="false">
      <c r="A373" s="2" t="n">
        <v>372</v>
      </c>
      <c r="B373" s="2" t="n">
        <v>17</v>
      </c>
      <c r="C373" s="2" t="s">
        <v>163</v>
      </c>
      <c r="D373" s="2" t="s">
        <v>222</v>
      </c>
      <c r="E373" s="8" t="n">
        <v>46124</v>
      </c>
      <c r="F373" s="8" t="n">
        <v>46123</v>
      </c>
      <c r="G373" s="2" t="s">
        <v>114</v>
      </c>
      <c r="H373" s="2" t="n">
        <v>8</v>
      </c>
      <c r="I373" s="2" t="str">
        <f aca="true">IF(AND(G373&lt;&gt;"Done",E373&lt;TODAY()),"Overdue","")</f>
        <v/>
      </c>
    </row>
    <row r="374" customFormat="false" ht="15" hidden="false" customHeight="false" outlineLevel="0" collapsed="false">
      <c r="A374" s="2" t="n">
        <v>373</v>
      </c>
      <c r="B374" s="2" t="n">
        <v>17</v>
      </c>
      <c r="C374" s="2" t="s">
        <v>243</v>
      </c>
      <c r="D374" s="2" t="s">
        <v>249</v>
      </c>
      <c r="E374" s="8" t="n">
        <v>46095</v>
      </c>
      <c r="F374" s="8" t="n">
        <v>46102</v>
      </c>
      <c r="G374" s="2" t="s">
        <v>114</v>
      </c>
      <c r="H374" s="2" t="n">
        <v>60</v>
      </c>
      <c r="I374" s="2" t="str">
        <f aca="true">IF(AND(G374&lt;&gt;"Done",E374&lt;TODAY()),"Overdue","")</f>
        <v/>
      </c>
    </row>
    <row r="375" customFormat="false" ht="15" hidden="false" customHeight="false" outlineLevel="0" collapsed="false">
      <c r="A375" s="2" t="n">
        <v>374</v>
      </c>
      <c r="B375" s="2" t="n">
        <v>17</v>
      </c>
      <c r="C375" s="2" t="s">
        <v>183</v>
      </c>
      <c r="D375" s="2" t="s">
        <v>66</v>
      </c>
      <c r="E375" s="8" t="n">
        <v>46128</v>
      </c>
      <c r="F375" s="8" t="n">
        <v>46137</v>
      </c>
      <c r="G375" s="2" t="s">
        <v>114</v>
      </c>
      <c r="H375" s="2" t="n">
        <v>24</v>
      </c>
      <c r="I375" s="2" t="str">
        <f aca="true">IF(AND(G375&lt;&gt;"Done",E375&lt;TODAY()),"Overdue","")</f>
        <v/>
      </c>
    </row>
    <row r="376" customFormat="false" ht="15" hidden="false" customHeight="false" outlineLevel="0" collapsed="false">
      <c r="A376" s="2" t="n">
        <v>375</v>
      </c>
      <c r="B376" s="2" t="n">
        <v>17</v>
      </c>
      <c r="C376" s="2" t="s">
        <v>200</v>
      </c>
      <c r="D376" s="2" t="s">
        <v>146</v>
      </c>
      <c r="E376" s="8" t="n">
        <v>46070</v>
      </c>
      <c r="F376" s="8" t="n">
        <v>46077</v>
      </c>
      <c r="G376" s="2" t="s">
        <v>114</v>
      </c>
      <c r="H376" s="2" t="n">
        <v>24</v>
      </c>
      <c r="I376" s="2" t="str">
        <f aca="true">IF(AND(G376&lt;&gt;"Done",E376&lt;TODAY()),"Overdue","")</f>
        <v/>
      </c>
    </row>
    <row r="377" customFormat="false" ht="15" hidden="false" customHeight="false" outlineLevel="0" collapsed="false">
      <c r="A377" s="2" t="n">
        <v>376</v>
      </c>
      <c r="B377" s="2" t="n">
        <v>17</v>
      </c>
      <c r="C377" s="2" t="s">
        <v>318</v>
      </c>
      <c r="D377" s="2" t="s">
        <v>95</v>
      </c>
      <c r="E377" s="8" t="n">
        <v>46140</v>
      </c>
      <c r="F377" s="8" t="n">
        <v>46133</v>
      </c>
      <c r="G377" s="2" t="s">
        <v>114</v>
      </c>
      <c r="H377" s="2" t="n">
        <v>60</v>
      </c>
      <c r="I377" s="2" t="str">
        <f aca="true">IF(AND(G377&lt;&gt;"Done",E377&lt;TODAY()),"Overdue","")</f>
        <v/>
      </c>
    </row>
    <row r="378" customFormat="false" ht="15" hidden="false" customHeight="false" outlineLevel="0" collapsed="false">
      <c r="A378" s="2" t="n">
        <v>377</v>
      </c>
      <c r="B378" s="2" t="n">
        <v>17</v>
      </c>
      <c r="C378" s="2" t="s">
        <v>122</v>
      </c>
      <c r="D378" s="2" t="s">
        <v>113</v>
      </c>
      <c r="E378" s="8" t="n">
        <v>46081</v>
      </c>
      <c r="F378" s="8" t="n">
        <v>46075</v>
      </c>
      <c r="G378" s="2" t="s">
        <v>114</v>
      </c>
      <c r="H378" s="2" t="n">
        <v>4</v>
      </c>
      <c r="I378" s="2" t="str">
        <f aca="true">IF(AND(G378&lt;&gt;"Done",E378&lt;TODAY()),"Overdue","")</f>
        <v/>
      </c>
    </row>
    <row r="379" customFormat="false" ht="15" hidden="false" customHeight="false" outlineLevel="0" collapsed="false">
      <c r="A379" s="2" t="n">
        <v>378</v>
      </c>
      <c r="B379" s="2" t="n">
        <v>17</v>
      </c>
      <c r="C379" s="2" t="s">
        <v>312</v>
      </c>
      <c r="D379" s="2" t="s">
        <v>57</v>
      </c>
      <c r="E379" s="8" t="n">
        <v>46123</v>
      </c>
      <c r="F379" s="8"/>
      <c r="G379" s="2" t="s">
        <v>101</v>
      </c>
      <c r="H379" s="2" t="n">
        <v>24</v>
      </c>
      <c r="I379" s="2" t="str">
        <f aca="true">IF(AND(G379&lt;&gt;"Done",E379&lt;TODAY()),"Overdue","")</f>
        <v>Overdue</v>
      </c>
    </row>
    <row r="380" customFormat="false" ht="15" hidden="false" customHeight="false" outlineLevel="0" collapsed="false">
      <c r="A380" s="2" t="n">
        <v>379</v>
      </c>
      <c r="B380" s="2" t="n">
        <v>17</v>
      </c>
      <c r="C380" s="2" t="s">
        <v>110</v>
      </c>
      <c r="D380" s="2" t="s">
        <v>107</v>
      </c>
      <c r="E380" s="8" t="n">
        <v>46058</v>
      </c>
      <c r="F380" s="8" t="n">
        <v>46056</v>
      </c>
      <c r="G380" s="2" t="s">
        <v>114</v>
      </c>
      <c r="H380" s="2" t="n">
        <v>60</v>
      </c>
      <c r="I380" s="2" t="str">
        <f aca="true">IF(AND(G380&lt;&gt;"Done",E380&lt;TODAY()),"Overdue","")</f>
        <v/>
      </c>
    </row>
    <row r="381" customFormat="false" ht="15" hidden="false" customHeight="false" outlineLevel="0" collapsed="false">
      <c r="A381" s="2" t="n">
        <v>380</v>
      </c>
      <c r="B381" s="2" t="n">
        <v>17</v>
      </c>
      <c r="C381" s="2" t="s">
        <v>278</v>
      </c>
      <c r="D381" s="2" t="s">
        <v>125</v>
      </c>
      <c r="E381" s="8" t="n">
        <v>46147</v>
      </c>
      <c r="F381" s="8" t="n">
        <v>46153</v>
      </c>
      <c r="G381" s="2" t="s">
        <v>114</v>
      </c>
      <c r="H381" s="2" t="n">
        <v>24</v>
      </c>
      <c r="I381" s="2" t="str">
        <f aca="true">IF(AND(G381&lt;&gt;"Done",E381&lt;TODAY()),"Overdue","")</f>
        <v/>
      </c>
    </row>
    <row r="382" customFormat="false" ht="15" hidden="false" customHeight="false" outlineLevel="0" collapsed="false">
      <c r="A382" s="2" t="n">
        <v>381</v>
      </c>
      <c r="B382" s="2" t="n">
        <v>18</v>
      </c>
      <c r="C382" s="2" t="s">
        <v>212</v>
      </c>
      <c r="D382" s="2" t="s">
        <v>37</v>
      </c>
      <c r="E382" s="8" t="n">
        <v>46078</v>
      </c>
      <c r="F382" s="8"/>
      <c r="G382" s="2" t="s">
        <v>88</v>
      </c>
      <c r="H382" s="2" t="n">
        <v>8</v>
      </c>
      <c r="I382" s="2" t="str">
        <f aca="true">IF(AND(G382&lt;&gt;"Done",E382&lt;TODAY()),"Overdue","")</f>
        <v>Overdue</v>
      </c>
    </row>
    <row r="383" customFormat="false" ht="15" hidden="false" customHeight="false" outlineLevel="0" collapsed="false">
      <c r="A383" s="2" t="n">
        <v>382</v>
      </c>
      <c r="B383" s="2" t="n">
        <v>18</v>
      </c>
      <c r="C383" s="2" t="s">
        <v>202</v>
      </c>
      <c r="D383" s="2" t="s">
        <v>162</v>
      </c>
      <c r="E383" s="8" t="n">
        <v>46149</v>
      </c>
      <c r="F383" s="8" t="n">
        <v>46145</v>
      </c>
      <c r="G383" s="2" t="s">
        <v>114</v>
      </c>
      <c r="H383" s="2" t="n">
        <v>40</v>
      </c>
      <c r="I383" s="2" t="str">
        <f aca="true">IF(AND(G383&lt;&gt;"Done",E383&lt;TODAY()),"Overdue","")</f>
        <v/>
      </c>
    </row>
    <row r="384" customFormat="false" ht="15" hidden="false" customHeight="false" outlineLevel="0" collapsed="false">
      <c r="A384" s="2" t="n">
        <v>383</v>
      </c>
      <c r="B384" s="2" t="n">
        <v>18</v>
      </c>
      <c r="C384" s="2" t="s">
        <v>169</v>
      </c>
      <c r="D384" s="2" t="s">
        <v>95</v>
      </c>
      <c r="E384" s="8" t="n">
        <v>46014</v>
      </c>
      <c r="F384" s="8"/>
      <c r="G384" s="2" t="s">
        <v>48</v>
      </c>
      <c r="H384" s="2" t="n">
        <v>80</v>
      </c>
      <c r="I384" s="2" t="str">
        <f aca="true">IF(AND(G384&lt;&gt;"Done",E384&lt;TODAY()),"Overdue","")</f>
        <v>Overdue</v>
      </c>
    </row>
    <row r="385" customFormat="false" ht="15" hidden="false" customHeight="false" outlineLevel="0" collapsed="false">
      <c r="A385" s="2" t="n">
        <v>384</v>
      </c>
      <c r="B385" s="2" t="n">
        <v>18</v>
      </c>
      <c r="C385" s="2" t="s">
        <v>149</v>
      </c>
      <c r="D385" s="2" t="s">
        <v>123</v>
      </c>
      <c r="E385" s="8" t="n">
        <v>45987</v>
      </c>
      <c r="F385" s="8"/>
      <c r="G385" s="2" t="s">
        <v>101</v>
      </c>
      <c r="H385" s="2" t="n">
        <v>40</v>
      </c>
      <c r="I385" s="2" t="str">
        <f aca="true">IF(AND(G385&lt;&gt;"Done",E385&lt;TODAY()),"Overdue","")</f>
        <v>Overdue</v>
      </c>
    </row>
    <row r="386" customFormat="false" ht="15" hidden="false" customHeight="false" outlineLevel="0" collapsed="false">
      <c r="A386" s="2" t="n">
        <v>385</v>
      </c>
      <c r="B386" s="2" t="n">
        <v>18</v>
      </c>
      <c r="C386" s="2" t="s">
        <v>319</v>
      </c>
      <c r="D386" s="2" t="s">
        <v>109</v>
      </c>
      <c r="E386" s="8" t="n">
        <v>46090</v>
      </c>
      <c r="F386" s="8"/>
      <c r="G386" s="2" t="s">
        <v>48</v>
      </c>
      <c r="H386" s="2" t="n">
        <v>24</v>
      </c>
      <c r="I386" s="2" t="str">
        <f aca="true">IF(AND(G386&lt;&gt;"Done",E386&lt;TODAY()),"Overdue","")</f>
        <v>Overdue</v>
      </c>
    </row>
    <row r="387" customFormat="false" ht="15" hidden="false" customHeight="false" outlineLevel="0" collapsed="false">
      <c r="A387" s="2" t="n">
        <v>386</v>
      </c>
      <c r="B387" s="2" t="n">
        <v>18</v>
      </c>
      <c r="C387" s="2" t="s">
        <v>142</v>
      </c>
      <c r="D387" s="2" t="s">
        <v>123</v>
      </c>
      <c r="E387" s="8" t="n">
        <v>46070</v>
      </c>
      <c r="F387" s="8"/>
      <c r="G387" s="2" t="s">
        <v>88</v>
      </c>
      <c r="H387" s="2" t="n">
        <v>80</v>
      </c>
      <c r="I387" s="2" t="str">
        <f aca="true">IF(AND(G387&lt;&gt;"Done",E387&lt;TODAY()),"Overdue","")</f>
        <v>Overdue</v>
      </c>
    </row>
    <row r="388" customFormat="false" ht="15" hidden="false" customHeight="false" outlineLevel="0" collapsed="false">
      <c r="A388" s="2" t="n">
        <v>387</v>
      </c>
      <c r="B388" s="2" t="n">
        <v>18</v>
      </c>
      <c r="C388" s="2" t="s">
        <v>266</v>
      </c>
      <c r="D388" s="2" t="s">
        <v>201</v>
      </c>
      <c r="E388" s="8" t="n">
        <v>46010</v>
      </c>
      <c r="F388" s="8"/>
      <c r="G388" s="2" t="s">
        <v>88</v>
      </c>
      <c r="H388" s="2" t="n">
        <v>80</v>
      </c>
      <c r="I388" s="2" t="str">
        <f aca="true">IF(AND(G388&lt;&gt;"Done",E388&lt;TODAY()),"Overdue","")</f>
        <v>Overdue</v>
      </c>
    </row>
    <row r="389" customFormat="false" ht="15" hidden="false" customHeight="false" outlineLevel="0" collapsed="false">
      <c r="A389" s="2" t="n">
        <v>388</v>
      </c>
      <c r="B389" s="2" t="n">
        <v>18</v>
      </c>
      <c r="C389" s="2" t="s">
        <v>115</v>
      </c>
      <c r="D389" s="2" t="s">
        <v>57</v>
      </c>
      <c r="E389" s="8" t="n">
        <v>46221</v>
      </c>
      <c r="F389" s="8" t="n">
        <v>46214</v>
      </c>
      <c r="G389" s="2" t="s">
        <v>114</v>
      </c>
      <c r="H389" s="2" t="n">
        <v>4</v>
      </c>
      <c r="I389" s="2" t="str">
        <f aca="true">IF(AND(G389&lt;&gt;"Done",E389&lt;TODAY()),"Overdue","")</f>
        <v/>
      </c>
    </row>
    <row r="390" customFormat="false" ht="15" hidden="false" customHeight="false" outlineLevel="0" collapsed="false">
      <c r="A390" s="2" t="n">
        <v>389</v>
      </c>
      <c r="B390" s="2" t="n">
        <v>18</v>
      </c>
      <c r="C390" s="2" t="s">
        <v>320</v>
      </c>
      <c r="D390" s="2" t="s">
        <v>51</v>
      </c>
      <c r="E390" s="8" t="n">
        <v>46134</v>
      </c>
      <c r="F390" s="8"/>
      <c r="G390" s="2" t="s">
        <v>88</v>
      </c>
      <c r="H390" s="2" t="n">
        <v>80</v>
      </c>
      <c r="I390" s="2" t="str">
        <f aca="true">IF(AND(G390&lt;&gt;"Done",E390&lt;TODAY()),"Overdue","")</f>
        <v>Overdue</v>
      </c>
    </row>
    <row r="391" customFormat="false" ht="15" hidden="false" customHeight="false" outlineLevel="0" collapsed="false">
      <c r="A391" s="2" t="n">
        <v>390</v>
      </c>
      <c r="B391" s="2" t="n">
        <v>18</v>
      </c>
      <c r="C391" s="2" t="s">
        <v>285</v>
      </c>
      <c r="D391" s="2" t="s">
        <v>194</v>
      </c>
      <c r="E391" s="8" t="n">
        <v>45994</v>
      </c>
      <c r="F391" s="8"/>
      <c r="G391" s="2" t="s">
        <v>88</v>
      </c>
      <c r="H391" s="2" t="n">
        <v>8</v>
      </c>
      <c r="I391" s="2" t="str">
        <f aca="true">IF(AND(G391&lt;&gt;"Done",E391&lt;TODAY()),"Overdue","")</f>
        <v>Overdue</v>
      </c>
    </row>
    <row r="392" customFormat="false" ht="15" hidden="false" customHeight="false" outlineLevel="0" collapsed="false">
      <c r="A392" s="2" t="n">
        <v>391</v>
      </c>
      <c r="B392" s="2" t="n">
        <v>18</v>
      </c>
      <c r="C392" s="2" t="s">
        <v>290</v>
      </c>
      <c r="D392" s="2" t="s">
        <v>66</v>
      </c>
      <c r="E392" s="8" t="n">
        <v>46120</v>
      </c>
      <c r="F392" s="8"/>
      <c r="G392" s="2" t="s">
        <v>88</v>
      </c>
      <c r="H392" s="2" t="n">
        <v>8</v>
      </c>
      <c r="I392" s="2" t="str">
        <f aca="true">IF(AND(G392&lt;&gt;"Done",E392&lt;TODAY()),"Overdue","")</f>
        <v>Overdue</v>
      </c>
    </row>
    <row r="393" customFormat="false" ht="15" hidden="false" customHeight="false" outlineLevel="0" collapsed="false">
      <c r="A393" s="2" t="n">
        <v>392</v>
      </c>
      <c r="B393" s="2" t="n">
        <v>18</v>
      </c>
      <c r="C393" s="2" t="s">
        <v>169</v>
      </c>
      <c r="D393" s="2" t="s">
        <v>123</v>
      </c>
      <c r="E393" s="8" t="n">
        <v>46110</v>
      </c>
      <c r="F393" s="8"/>
      <c r="G393" s="2" t="s">
        <v>101</v>
      </c>
      <c r="H393" s="2" t="n">
        <v>40</v>
      </c>
      <c r="I393" s="2" t="str">
        <f aca="true">IF(AND(G393&lt;&gt;"Done",E393&lt;TODAY()),"Overdue","")</f>
        <v>Overdue</v>
      </c>
    </row>
    <row r="394" customFormat="false" ht="15" hidden="false" customHeight="false" outlineLevel="0" collapsed="false">
      <c r="A394" s="2" t="n">
        <v>393</v>
      </c>
      <c r="B394" s="2" t="n">
        <v>18</v>
      </c>
      <c r="C394" s="2" t="s">
        <v>234</v>
      </c>
      <c r="D394" s="2" t="s">
        <v>144</v>
      </c>
      <c r="E394" s="8" t="n">
        <v>46063</v>
      </c>
      <c r="F394" s="8"/>
      <c r="G394" s="2" t="s">
        <v>48</v>
      </c>
      <c r="H394" s="2" t="n">
        <v>8</v>
      </c>
      <c r="I394" s="2" t="str">
        <f aca="true">IF(AND(G394&lt;&gt;"Done",E394&lt;TODAY()),"Overdue","")</f>
        <v>Overdue</v>
      </c>
    </row>
    <row r="395" customFormat="false" ht="15" hidden="false" customHeight="false" outlineLevel="0" collapsed="false">
      <c r="A395" s="2" t="n">
        <v>394</v>
      </c>
      <c r="B395" s="2" t="n">
        <v>18</v>
      </c>
      <c r="C395" s="2" t="s">
        <v>275</v>
      </c>
      <c r="D395" s="2" t="s">
        <v>103</v>
      </c>
      <c r="E395" s="8" t="n">
        <v>46059</v>
      </c>
      <c r="F395" s="8" t="n">
        <v>46068</v>
      </c>
      <c r="G395" s="2" t="s">
        <v>114</v>
      </c>
      <c r="H395" s="2" t="n">
        <v>16</v>
      </c>
      <c r="I395" s="2" t="str">
        <f aca="true">IF(AND(G395&lt;&gt;"Done",E395&lt;TODAY()),"Overdue","")</f>
        <v/>
      </c>
    </row>
    <row r="396" customFormat="false" ht="15" hidden="false" customHeight="false" outlineLevel="0" collapsed="false">
      <c r="A396" s="2" t="n">
        <v>395</v>
      </c>
      <c r="B396" s="2" t="n">
        <v>18</v>
      </c>
      <c r="C396" s="2" t="s">
        <v>321</v>
      </c>
      <c r="D396" s="2" t="s">
        <v>97</v>
      </c>
      <c r="E396" s="8" t="n">
        <v>45997</v>
      </c>
      <c r="F396" s="8"/>
      <c r="G396" s="2" t="s">
        <v>48</v>
      </c>
      <c r="H396" s="2" t="n">
        <v>8</v>
      </c>
      <c r="I396" s="2" t="str">
        <f aca="true">IF(AND(G396&lt;&gt;"Done",E396&lt;TODAY()),"Overdue","")</f>
        <v>Overdue</v>
      </c>
    </row>
    <row r="397" customFormat="false" ht="15" hidden="false" customHeight="false" outlineLevel="0" collapsed="false">
      <c r="A397" s="2" t="n">
        <v>396</v>
      </c>
      <c r="B397" s="2" t="n">
        <v>18</v>
      </c>
      <c r="C397" s="2" t="s">
        <v>209</v>
      </c>
      <c r="D397" s="2" t="s">
        <v>66</v>
      </c>
      <c r="E397" s="8" t="n">
        <v>46142</v>
      </c>
      <c r="F397" s="8"/>
      <c r="G397" s="2" t="s">
        <v>48</v>
      </c>
      <c r="H397" s="2" t="n">
        <v>16</v>
      </c>
      <c r="I397" s="2" t="str">
        <f aca="true">IF(AND(G397&lt;&gt;"Done",E397&lt;TODAY()),"Overdue","")</f>
        <v>Overdue</v>
      </c>
    </row>
    <row r="398" customFormat="false" ht="15" hidden="false" customHeight="false" outlineLevel="0" collapsed="false">
      <c r="A398" s="2" t="n">
        <v>397</v>
      </c>
      <c r="B398" s="2" t="n">
        <v>18</v>
      </c>
      <c r="C398" s="2" t="s">
        <v>133</v>
      </c>
      <c r="D398" s="2" t="s">
        <v>251</v>
      </c>
      <c r="E398" s="8" t="n">
        <v>46223</v>
      </c>
      <c r="F398" s="8"/>
      <c r="G398" s="2" t="s">
        <v>48</v>
      </c>
      <c r="H398" s="2" t="n">
        <v>16</v>
      </c>
      <c r="I398" s="2" t="str">
        <f aca="true">IF(AND(G398&lt;&gt;"Done",E398&lt;TODAY()),"Overdue","")</f>
        <v/>
      </c>
    </row>
    <row r="399" customFormat="false" ht="15" hidden="false" customHeight="false" outlineLevel="0" collapsed="false">
      <c r="A399" s="2" t="n">
        <v>398</v>
      </c>
      <c r="B399" s="2" t="n">
        <v>18</v>
      </c>
      <c r="C399" s="2" t="s">
        <v>89</v>
      </c>
      <c r="D399" s="2" t="s">
        <v>125</v>
      </c>
      <c r="E399" s="8" t="n">
        <v>46160</v>
      </c>
      <c r="F399" s="8"/>
      <c r="G399" s="2" t="s">
        <v>48</v>
      </c>
      <c r="H399" s="2" t="n">
        <v>8</v>
      </c>
      <c r="I399" s="2" t="str">
        <f aca="true">IF(AND(G399&lt;&gt;"Done",E399&lt;TODAY()),"Overdue","")</f>
        <v/>
      </c>
    </row>
    <row r="400" customFormat="false" ht="15" hidden="false" customHeight="false" outlineLevel="0" collapsed="false">
      <c r="A400" s="2" t="n">
        <v>399</v>
      </c>
      <c r="B400" s="2" t="n">
        <v>18</v>
      </c>
      <c r="C400" s="2" t="s">
        <v>169</v>
      </c>
      <c r="D400" s="2" t="s">
        <v>153</v>
      </c>
      <c r="E400" s="8" t="n">
        <v>46175</v>
      </c>
      <c r="F400" s="8"/>
      <c r="G400" s="2" t="s">
        <v>48</v>
      </c>
      <c r="H400" s="2" t="n">
        <v>16</v>
      </c>
      <c r="I400" s="2" t="str">
        <f aca="true">IF(AND(G400&lt;&gt;"Done",E400&lt;TODAY()),"Overdue","")</f>
        <v/>
      </c>
    </row>
    <row r="401" customFormat="false" ht="15" hidden="false" customHeight="false" outlineLevel="0" collapsed="false">
      <c r="A401" s="2" t="n">
        <v>400</v>
      </c>
      <c r="B401" s="2" t="n">
        <v>18</v>
      </c>
      <c r="C401" s="2" t="s">
        <v>179</v>
      </c>
      <c r="D401" s="2" t="s">
        <v>66</v>
      </c>
      <c r="E401" s="8" t="n">
        <v>46201</v>
      </c>
      <c r="F401" s="8"/>
      <c r="G401" s="2" t="s">
        <v>48</v>
      </c>
      <c r="H401" s="2" t="n">
        <v>40</v>
      </c>
      <c r="I401" s="2" t="str">
        <f aca="true">IF(AND(G401&lt;&gt;"Done",E401&lt;TODAY()),"Overdue","")</f>
        <v/>
      </c>
    </row>
    <row r="402" customFormat="false" ht="15" hidden="false" customHeight="false" outlineLevel="0" collapsed="false">
      <c r="A402" s="2" t="n">
        <v>401</v>
      </c>
      <c r="B402" s="2" t="n">
        <v>18</v>
      </c>
      <c r="C402" s="2" t="s">
        <v>185</v>
      </c>
      <c r="D402" s="2" t="s">
        <v>229</v>
      </c>
      <c r="E402" s="8" t="n">
        <v>46087</v>
      </c>
      <c r="F402" s="8"/>
      <c r="G402" s="2" t="s">
        <v>101</v>
      </c>
      <c r="H402" s="2" t="n">
        <v>24</v>
      </c>
      <c r="I402" s="2" t="str">
        <f aca="true">IF(AND(G402&lt;&gt;"Done",E402&lt;TODAY()),"Overdue","")</f>
        <v>Overdue</v>
      </c>
    </row>
    <row r="403" customFormat="false" ht="15" hidden="false" customHeight="false" outlineLevel="0" collapsed="false">
      <c r="A403" s="2" t="n">
        <v>402</v>
      </c>
      <c r="B403" s="2" t="n">
        <v>18</v>
      </c>
      <c r="C403" s="2" t="s">
        <v>177</v>
      </c>
      <c r="D403" s="2" t="s">
        <v>41</v>
      </c>
      <c r="E403" s="8" t="n">
        <v>46044</v>
      </c>
      <c r="F403" s="8"/>
      <c r="G403" s="2" t="s">
        <v>88</v>
      </c>
      <c r="H403" s="2" t="n">
        <v>24</v>
      </c>
      <c r="I403" s="2" t="str">
        <f aca="true">IF(AND(G403&lt;&gt;"Done",E403&lt;TODAY()),"Overdue","")</f>
        <v>Overdue</v>
      </c>
    </row>
    <row r="404" customFormat="false" ht="15" hidden="false" customHeight="false" outlineLevel="0" collapsed="false">
      <c r="A404" s="2" t="n">
        <v>403</v>
      </c>
      <c r="B404" s="2" t="n">
        <v>18</v>
      </c>
      <c r="C404" s="2" t="s">
        <v>158</v>
      </c>
      <c r="D404" s="2" t="s">
        <v>131</v>
      </c>
      <c r="E404" s="8" t="n">
        <v>46198</v>
      </c>
      <c r="F404" s="8"/>
      <c r="G404" s="2" t="s">
        <v>88</v>
      </c>
      <c r="H404" s="2" t="n">
        <v>4</v>
      </c>
      <c r="I404" s="2" t="str">
        <f aca="true">IF(AND(G404&lt;&gt;"Done",E404&lt;TODAY()),"Overdue","")</f>
        <v/>
      </c>
    </row>
    <row r="405" customFormat="false" ht="15" hidden="false" customHeight="false" outlineLevel="0" collapsed="false">
      <c r="A405" s="2" t="n">
        <v>404</v>
      </c>
      <c r="B405" s="2" t="n">
        <v>18</v>
      </c>
      <c r="C405" s="2" t="s">
        <v>132</v>
      </c>
      <c r="D405" s="2" t="s">
        <v>44</v>
      </c>
      <c r="E405" s="8" t="n">
        <v>46050</v>
      </c>
      <c r="F405" s="8"/>
      <c r="G405" s="2" t="s">
        <v>88</v>
      </c>
      <c r="H405" s="2" t="n">
        <v>80</v>
      </c>
      <c r="I405" s="2" t="str">
        <f aca="true">IF(AND(G405&lt;&gt;"Done",E405&lt;TODAY()),"Overdue","")</f>
        <v>Overdue</v>
      </c>
    </row>
    <row r="406" customFormat="false" ht="15" hidden="false" customHeight="false" outlineLevel="0" collapsed="false">
      <c r="A406" s="2" t="n">
        <v>405</v>
      </c>
      <c r="B406" s="2" t="n">
        <v>18</v>
      </c>
      <c r="C406" s="2" t="s">
        <v>196</v>
      </c>
      <c r="D406" s="2" t="s">
        <v>123</v>
      </c>
      <c r="E406" s="8" t="n">
        <v>46000</v>
      </c>
      <c r="F406" s="8"/>
      <c r="G406" s="2" t="s">
        <v>88</v>
      </c>
      <c r="H406" s="2" t="n">
        <v>60</v>
      </c>
      <c r="I406" s="2" t="str">
        <f aca="true">IF(AND(G406&lt;&gt;"Done",E406&lt;TODAY()),"Overdue","")</f>
        <v>Overdue</v>
      </c>
    </row>
    <row r="407" customFormat="false" ht="15" hidden="false" customHeight="false" outlineLevel="0" collapsed="false">
      <c r="A407" s="2" t="n">
        <v>406</v>
      </c>
      <c r="B407" s="2" t="n">
        <v>18</v>
      </c>
      <c r="C407" s="2" t="s">
        <v>169</v>
      </c>
      <c r="D407" s="2" t="s">
        <v>155</v>
      </c>
      <c r="E407" s="8" t="n">
        <v>46125</v>
      </c>
      <c r="F407" s="8"/>
      <c r="G407" s="2" t="s">
        <v>88</v>
      </c>
      <c r="H407" s="2" t="n">
        <v>16</v>
      </c>
      <c r="I407" s="2" t="str">
        <f aca="true">IF(AND(G407&lt;&gt;"Done",E407&lt;TODAY()),"Overdue","")</f>
        <v>Overdue</v>
      </c>
    </row>
    <row r="408" customFormat="false" ht="15" hidden="false" customHeight="false" outlineLevel="0" collapsed="false">
      <c r="A408" s="2" t="n">
        <v>407</v>
      </c>
      <c r="B408" s="2" t="n">
        <v>18</v>
      </c>
      <c r="C408" s="2" t="s">
        <v>256</v>
      </c>
      <c r="D408" s="2" t="s">
        <v>97</v>
      </c>
      <c r="E408" s="8" t="n">
        <v>46214</v>
      </c>
      <c r="F408" s="8"/>
      <c r="G408" s="2" t="s">
        <v>88</v>
      </c>
      <c r="H408" s="2" t="n">
        <v>4</v>
      </c>
      <c r="I408" s="2" t="str">
        <f aca="true">IF(AND(G408&lt;&gt;"Done",E408&lt;TODAY()),"Overdue","")</f>
        <v/>
      </c>
    </row>
    <row r="409" customFormat="false" ht="15" hidden="false" customHeight="false" outlineLevel="0" collapsed="false">
      <c r="A409" s="2" t="n">
        <v>408</v>
      </c>
      <c r="B409" s="2" t="n">
        <v>19</v>
      </c>
      <c r="C409" s="2" t="s">
        <v>311</v>
      </c>
      <c r="D409" s="2" t="s">
        <v>109</v>
      </c>
      <c r="E409" s="8" t="n">
        <v>46180</v>
      </c>
      <c r="F409" s="8" t="n">
        <v>46179</v>
      </c>
      <c r="G409" s="2" t="s">
        <v>114</v>
      </c>
      <c r="H409" s="2" t="n">
        <v>40</v>
      </c>
      <c r="I409" s="2" t="str">
        <f aca="true">IF(AND(G409&lt;&gt;"Done",E409&lt;TODAY()),"Overdue","")</f>
        <v/>
      </c>
    </row>
    <row r="410" customFormat="false" ht="15" hidden="false" customHeight="false" outlineLevel="0" collapsed="false">
      <c r="A410" s="2" t="n">
        <v>409</v>
      </c>
      <c r="B410" s="2" t="n">
        <v>19</v>
      </c>
      <c r="C410" s="2" t="s">
        <v>213</v>
      </c>
      <c r="D410" s="2" t="s">
        <v>165</v>
      </c>
      <c r="E410" s="8" t="n">
        <v>46220</v>
      </c>
      <c r="F410" s="8" t="n">
        <v>46225</v>
      </c>
      <c r="G410" s="2" t="s">
        <v>114</v>
      </c>
      <c r="H410" s="2" t="n">
        <v>16</v>
      </c>
      <c r="I410" s="2" t="str">
        <f aca="true">IF(AND(G410&lt;&gt;"Done",E410&lt;TODAY()),"Overdue","")</f>
        <v/>
      </c>
    </row>
    <row r="411" customFormat="false" ht="15" hidden="false" customHeight="false" outlineLevel="0" collapsed="false">
      <c r="A411" s="2" t="n">
        <v>410</v>
      </c>
      <c r="B411" s="2" t="n">
        <v>19</v>
      </c>
      <c r="C411" s="2" t="s">
        <v>322</v>
      </c>
      <c r="D411" s="2" t="s">
        <v>267</v>
      </c>
      <c r="E411" s="8" t="n">
        <v>46213</v>
      </c>
      <c r="F411" s="8"/>
      <c r="G411" s="2" t="s">
        <v>48</v>
      </c>
      <c r="H411" s="2" t="n">
        <v>24</v>
      </c>
      <c r="I411" s="2" t="str">
        <f aca="true">IF(AND(G411&lt;&gt;"Done",E411&lt;TODAY()),"Overdue","")</f>
        <v/>
      </c>
    </row>
    <row r="412" customFormat="false" ht="15" hidden="false" customHeight="false" outlineLevel="0" collapsed="false">
      <c r="A412" s="2" t="n">
        <v>411</v>
      </c>
      <c r="B412" s="2" t="n">
        <v>19</v>
      </c>
      <c r="C412" s="2" t="s">
        <v>310</v>
      </c>
      <c r="D412" s="2" t="s">
        <v>144</v>
      </c>
      <c r="E412" s="8" t="n">
        <v>46106</v>
      </c>
      <c r="F412" s="8" t="n">
        <v>46114</v>
      </c>
      <c r="G412" s="2" t="s">
        <v>114</v>
      </c>
      <c r="H412" s="2" t="n">
        <v>8</v>
      </c>
      <c r="I412" s="2" t="str">
        <f aca="true">IF(AND(G412&lt;&gt;"Done",E412&lt;TODAY()),"Overdue","")</f>
        <v/>
      </c>
    </row>
    <row r="413" customFormat="false" ht="15" hidden="false" customHeight="false" outlineLevel="0" collapsed="false">
      <c r="A413" s="2" t="n">
        <v>412</v>
      </c>
      <c r="B413" s="2" t="n">
        <v>19</v>
      </c>
      <c r="C413" s="2" t="s">
        <v>242</v>
      </c>
      <c r="D413" s="2" t="s">
        <v>153</v>
      </c>
      <c r="E413" s="8" t="n">
        <v>46245</v>
      </c>
      <c r="F413" s="8"/>
      <c r="G413" s="2" t="s">
        <v>48</v>
      </c>
      <c r="H413" s="2" t="n">
        <v>60</v>
      </c>
      <c r="I413" s="2" t="str">
        <f aca="true">IF(AND(G413&lt;&gt;"Done",E413&lt;TODAY()),"Overdue","")</f>
        <v/>
      </c>
    </row>
    <row r="414" customFormat="false" ht="15" hidden="false" customHeight="false" outlineLevel="0" collapsed="false">
      <c r="A414" s="2" t="n">
        <v>413</v>
      </c>
      <c r="B414" s="2" t="n">
        <v>19</v>
      </c>
      <c r="C414" s="2" t="s">
        <v>322</v>
      </c>
      <c r="D414" s="2" t="s">
        <v>121</v>
      </c>
      <c r="E414" s="8" t="n">
        <v>46130</v>
      </c>
      <c r="F414" s="8"/>
      <c r="G414" s="2" t="s">
        <v>88</v>
      </c>
      <c r="H414" s="2" t="n">
        <v>40</v>
      </c>
      <c r="I414" s="2" t="str">
        <f aca="true">IF(AND(G414&lt;&gt;"Done",E414&lt;TODAY()),"Overdue","")</f>
        <v>Overdue</v>
      </c>
    </row>
    <row r="415" customFormat="false" ht="15" hidden="false" customHeight="false" outlineLevel="0" collapsed="false">
      <c r="A415" s="2" t="n">
        <v>414</v>
      </c>
      <c r="B415" s="2" t="n">
        <v>19</v>
      </c>
      <c r="C415" s="2" t="s">
        <v>281</v>
      </c>
      <c r="D415" s="2" t="s">
        <v>153</v>
      </c>
      <c r="E415" s="8" t="n">
        <v>46269</v>
      </c>
      <c r="F415" s="8"/>
      <c r="G415" s="2" t="s">
        <v>48</v>
      </c>
      <c r="H415" s="2" t="n">
        <v>24</v>
      </c>
      <c r="I415" s="2" t="str">
        <f aca="true">IF(AND(G415&lt;&gt;"Done",E415&lt;TODAY()),"Overdue","")</f>
        <v/>
      </c>
    </row>
    <row r="416" customFormat="false" ht="15" hidden="false" customHeight="false" outlineLevel="0" collapsed="false">
      <c r="A416" s="2" t="n">
        <v>415</v>
      </c>
      <c r="B416" s="2" t="n">
        <v>19</v>
      </c>
      <c r="C416" s="2" t="s">
        <v>136</v>
      </c>
      <c r="D416" s="2" t="s">
        <v>138</v>
      </c>
      <c r="E416" s="8" t="n">
        <v>46347</v>
      </c>
      <c r="F416" s="8" t="n">
        <v>46355</v>
      </c>
      <c r="G416" s="2" t="s">
        <v>114</v>
      </c>
      <c r="H416" s="2" t="n">
        <v>16</v>
      </c>
      <c r="I416" s="2" t="str">
        <f aca="true">IF(AND(G416&lt;&gt;"Done",E416&lt;TODAY()),"Overdue","")</f>
        <v/>
      </c>
    </row>
    <row r="417" customFormat="false" ht="15" hidden="false" customHeight="false" outlineLevel="0" collapsed="false">
      <c r="A417" s="2" t="n">
        <v>416</v>
      </c>
      <c r="B417" s="2" t="n">
        <v>19</v>
      </c>
      <c r="C417" s="2" t="s">
        <v>264</v>
      </c>
      <c r="D417" s="2" t="s">
        <v>97</v>
      </c>
      <c r="E417" s="8" t="n">
        <v>46187</v>
      </c>
      <c r="F417" s="8" t="n">
        <v>46195</v>
      </c>
      <c r="G417" s="2" t="s">
        <v>114</v>
      </c>
      <c r="H417" s="2" t="n">
        <v>24</v>
      </c>
      <c r="I417" s="2" t="str">
        <f aca="true">IF(AND(G417&lt;&gt;"Done",E417&lt;TODAY()),"Overdue","")</f>
        <v/>
      </c>
    </row>
    <row r="418" customFormat="false" ht="15" hidden="false" customHeight="false" outlineLevel="0" collapsed="false">
      <c r="A418" s="2" t="n">
        <v>417</v>
      </c>
      <c r="B418" s="2" t="n">
        <v>19</v>
      </c>
      <c r="C418" s="2" t="s">
        <v>252</v>
      </c>
      <c r="D418" s="2" t="s">
        <v>286</v>
      </c>
      <c r="E418" s="8" t="n">
        <v>46291</v>
      </c>
      <c r="F418" s="8"/>
      <c r="G418" s="2" t="s">
        <v>88</v>
      </c>
      <c r="H418" s="2" t="n">
        <v>8</v>
      </c>
      <c r="I418" s="2" t="str">
        <f aca="true">IF(AND(G418&lt;&gt;"Done",E418&lt;TODAY()),"Overdue","")</f>
        <v/>
      </c>
    </row>
    <row r="419" customFormat="false" ht="15" hidden="false" customHeight="false" outlineLevel="0" collapsed="false">
      <c r="A419" s="2" t="n">
        <v>418</v>
      </c>
      <c r="B419" s="2" t="n">
        <v>19</v>
      </c>
      <c r="C419" s="2" t="s">
        <v>312</v>
      </c>
      <c r="D419" s="2" t="s">
        <v>37</v>
      </c>
      <c r="E419" s="8" t="n">
        <v>46335</v>
      </c>
      <c r="F419" s="8"/>
      <c r="G419" s="2" t="s">
        <v>48</v>
      </c>
      <c r="H419" s="2" t="n">
        <v>60</v>
      </c>
      <c r="I419" s="2" t="str">
        <f aca="true">IF(AND(G419&lt;&gt;"Done",E419&lt;TODAY()),"Overdue","")</f>
        <v/>
      </c>
    </row>
    <row r="420" customFormat="false" ht="15" hidden="false" customHeight="false" outlineLevel="0" collapsed="false">
      <c r="A420" s="2" t="n">
        <v>419</v>
      </c>
      <c r="B420" s="2" t="n">
        <v>19</v>
      </c>
      <c r="C420" s="2" t="s">
        <v>231</v>
      </c>
      <c r="D420" s="2" t="s">
        <v>66</v>
      </c>
      <c r="E420" s="8" t="n">
        <v>46086</v>
      </c>
      <c r="F420" s="8" t="n">
        <v>46081</v>
      </c>
      <c r="G420" s="2" t="s">
        <v>114</v>
      </c>
      <c r="H420" s="2" t="n">
        <v>80</v>
      </c>
      <c r="I420" s="2" t="str">
        <f aca="true">IF(AND(G420&lt;&gt;"Done",E420&lt;TODAY()),"Overdue","")</f>
        <v/>
      </c>
    </row>
    <row r="421" customFormat="false" ht="15" hidden="false" customHeight="false" outlineLevel="0" collapsed="false">
      <c r="A421" s="2" t="n">
        <v>420</v>
      </c>
      <c r="B421" s="2" t="n">
        <v>19</v>
      </c>
      <c r="C421" s="2" t="s">
        <v>231</v>
      </c>
      <c r="D421" s="2" t="s">
        <v>153</v>
      </c>
      <c r="E421" s="8" t="n">
        <v>46059</v>
      </c>
      <c r="F421" s="8"/>
      <c r="G421" s="2" t="s">
        <v>48</v>
      </c>
      <c r="H421" s="2" t="n">
        <v>4</v>
      </c>
      <c r="I421" s="2" t="str">
        <f aca="true">IF(AND(G421&lt;&gt;"Done",E421&lt;TODAY()),"Overdue","")</f>
        <v>Overdue</v>
      </c>
    </row>
    <row r="422" customFormat="false" ht="15" hidden="false" customHeight="false" outlineLevel="0" collapsed="false">
      <c r="A422" s="2" t="n">
        <v>421</v>
      </c>
      <c r="B422" s="2" t="n">
        <v>19</v>
      </c>
      <c r="C422" s="2" t="s">
        <v>209</v>
      </c>
      <c r="D422" s="2" t="s">
        <v>100</v>
      </c>
      <c r="E422" s="8" t="n">
        <v>46133</v>
      </c>
      <c r="F422" s="8"/>
      <c r="G422" s="2" t="s">
        <v>88</v>
      </c>
      <c r="H422" s="2" t="n">
        <v>4</v>
      </c>
      <c r="I422" s="2" t="str">
        <f aca="true">IF(AND(G422&lt;&gt;"Done",E422&lt;TODAY()),"Overdue","")</f>
        <v>Overdue</v>
      </c>
    </row>
    <row r="423" customFormat="false" ht="15" hidden="false" customHeight="false" outlineLevel="0" collapsed="false">
      <c r="A423" s="2" t="n">
        <v>422</v>
      </c>
      <c r="B423" s="2" t="n">
        <v>19</v>
      </c>
      <c r="C423" s="2" t="s">
        <v>218</v>
      </c>
      <c r="D423" s="2" t="s">
        <v>47</v>
      </c>
      <c r="E423" s="8" t="n">
        <v>46372</v>
      </c>
      <c r="F423" s="8" t="n">
        <v>46380</v>
      </c>
      <c r="G423" s="2" t="s">
        <v>114</v>
      </c>
      <c r="H423" s="2" t="n">
        <v>4</v>
      </c>
      <c r="I423" s="2" t="str">
        <f aca="true">IF(AND(G423&lt;&gt;"Done",E423&lt;TODAY()),"Overdue","")</f>
        <v/>
      </c>
    </row>
    <row r="424" customFormat="false" ht="15" hidden="false" customHeight="false" outlineLevel="0" collapsed="false">
      <c r="A424" s="2" t="n">
        <v>423</v>
      </c>
      <c r="B424" s="2" t="n">
        <v>19</v>
      </c>
      <c r="C424" s="2" t="s">
        <v>191</v>
      </c>
      <c r="D424" s="2" t="s">
        <v>123</v>
      </c>
      <c r="E424" s="8" t="n">
        <v>46328</v>
      </c>
      <c r="F424" s="8" t="n">
        <v>46321</v>
      </c>
      <c r="G424" s="2" t="s">
        <v>114</v>
      </c>
      <c r="H424" s="2" t="n">
        <v>16</v>
      </c>
      <c r="I424" s="2" t="str">
        <f aca="true">IF(AND(G424&lt;&gt;"Done",E424&lt;TODAY()),"Overdue","")</f>
        <v/>
      </c>
    </row>
    <row r="425" customFormat="false" ht="15" hidden="false" customHeight="false" outlineLevel="0" collapsed="false">
      <c r="A425" s="2" t="n">
        <v>424</v>
      </c>
      <c r="B425" s="2" t="n">
        <v>19</v>
      </c>
      <c r="C425" s="2" t="s">
        <v>191</v>
      </c>
      <c r="D425" s="2" t="s">
        <v>113</v>
      </c>
      <c r="E425" s="8" t="n">
        <v>46330</v>
      </c>
      <c r="F425" s="8"/>
      <c r="G425" s="2" t="s">
        <v>101</v>
      </c>
      <c r="H425" s="2" t="n">
        <v>60</v>
      </c>
      <c r="I425" s="2" t="str">
        <f aca="true">IF(AND(G425&lt;&gt;"Done",E425&lt;TODAY()),"Overdue","")</f>
        <v/>
      </c>
    </row>
    <row r="426" customFormat="false" ht="15" hidden="false" customHeight="false" outlineLevel="0" collapsed="false">
      <c r="A426" s="2" t="n">
        <v>425</v>
      </c>
      <c r="B426" s="2" t="n">
        <v>19</v>
      </c>
      <c r="C426" s="2" t="s">
        <v>323</v>
      </c>
      <c r="D426" s="2" t="s">
        <v>192</v>
      </c>
      <c r="E426" s="8" t="n">
        <v>46276</v>
      </c>
      <c r="F426" s="8" t="n">
        <v>46274</v>
      </c>
      <c r="G426" s="2" t="s">
        <v>114</v>
      </c>
      <c r="H426" s="2" t="n">
        <v>40</v>
      </c>
      <c r="I426" s="2" t="str">
        <f aca="true">IF(AND(G426&lt;&gt;"Done",E426&lt;TODAY()),"Overdue","")</f>
        <v/>
      </c>
    </row>
    <row r="427" customFormat="false" ht="15" hidden="false" customHeight="false" outlineLevel="0" collapsed="false">
      <c r="A427" s="2" t="n">
        <v>426</v>
      </c>
      <c r="B427" s="2" t="n">
        <v>19</v>
      </c>
      <c r="C427" s="2" t="s">
        <v>163</v>
      </c>
      <c r="D427" s="2" t="s">
        <v>87</v>
      </c>
      <c r="E427" s="8" t="n">
        <v>46132</v>
      </c>
      <c r="F427" s="8"/>
      <c r="G427" s="2" t="s">
        <v>88</v>
      </c>
      <c r="H427" s="2" t="n">
        <v>80</v>
      </c>
      <c r="I427" s="2" t="str">
        <f aca="true">IF(AND(G427&lt;&gt;"Done",E427&lt;TODAY()),"Overdue","")</f>
        <v>Overdue</v>
      </c>
    </row>
    <row r="428" customFormat="false" ht="15" hidden="false" customHeight="false" outlineLevel="0" collapsed="false">
      <c r="A428" s="2" t="n">
        <v>427</v>
      </c>
      <c r="B428" s="2" t="n">
        <v>19</v>
      </c>
      <c r="C428" s="2" t="s">
        <v>259</v>
      </c>
      <c r="D428" s="2" t="s">
        <v>100</v>
      </c>
      <c r="E428" s="8" t="n">
        <v>46237</v>
      </c>
      <c r="F428" s="8"/>
      <c r="G428" s="2" t="s">
        <v>48</v>
      </c>
      <c r="H428" s="2" t="n">
        <v>24</v>
      </c>
      <c r="I428" s="2" t="str">
        <f aca="true">IF(AND(G428&lt;&gt;"Done",E428&lt;TODAY()),"Overdue","")</f>
        <v/>
      </c>
    </row>
    <row r="429" customFormat="false" ht="15" hidden="false" customHeight="false" outlineLevel="0" collapsed="false">
      <c r="A429" s="2" t="n">
        <v>428</v>
      </c>
      <c r="B429" s="2" t="n">
        <v>19</v>
      </c>
      <c r="C429" s="2" t="s">
        <v>216</v>
      </c>
      <c r="D429" s="2" t="s">
        <v>41</v>
      </c>
      <c r="E429" s="8" t="n">
        <v>46291</v>
      </c>
      <c r="F429" s="8" t="n">
        <v>46291</v>
      </c>
      <c r="G429" s="2" t="s">
        <v>114</v>
      </c>
      <c r="H429" s="2" t="n">
        <v>60</v>
      </c>
      <c r="I429" s="2" t="str">
        <f aca="true">IF(AND(G429&lt;&gt;"Done",E429&lt;TODAY()),"Overdue","")</f>
        <v/>
      </c>
    </row>
    <row r="430" customFormat="false" ht="15" hidden="false" customHeight="false" outlineLevel="0" collapsed="false">
      <c r="A430" s="2" t="n">
        <v>429</v>
      </c>
      <c r="B430" s="2" t="n">
        <v>19</v>
      </c>
      <c r="C430" s="2" t="s">
        <v>154</v>
      </c>
      <c r="D430" s="2" t="s">
        <v>125</v>
      </c>
      <c r="E430" s="8" t="n">
        <v>46388</v>
      </c>
      <c r="F430" s="8" t="n">
        <v>46383</v>
      </c>
      <c r="G430" s="2" t="s">
        <v>114</v>
      </c>
      <c r="H430" s="2" t="n">
        <v>40</v>
      </c>
      <c r="I430" s="2" t="str">
        <f aca="true">IF(AND(G430&lt;&gt;"Done",E430&lt;TODAY()),"Overdue","")</f>
        <v/>
      </c>
    </row>
    <row r="431" customFormat="false" ht="15" hidden="false" customHeight="false" outlineLevel="0" collapsed="false">
      <c r="A431" s="2" t="n">
        <v>430</v>
      </c>
      <c r="B431" s="2" t="n">
        <v>19</v>
      </c>
      <c r="C431" s="2" t="s">
        <v>246</v>
      </c>
      <c r="D431" s="2" t="s">
        <v>286</v>
      </c>
      <c r="E431" s="8" t="n">
        <v>46299</v>
      </c>
      <c r="F431" s="8"/>
      <c r="G431" s="2" t="s">
        <v>88</v>
      </c>
      <c r="H431" s="2" t="n">
        <v>4</v>
      </c>
      <c r="I431" s="2" t="str">
        <f aca="true">IF(AND(G431&lt;&gt;"Done",E431&lt;TODAY()),"Overdue","")</f>
        <v/>
      </c>
    </row>
    <row r="432" customFormat="false" ht="15" hidden="false" customHeight="false" outlineLevel="0" collapsed="false">
      <c r="A432" s="2" t="n">
        <v>431</v>
      </c>
      <c r="B432" s="2" t="n">
        <v>19</v>
      </c>
      <c r="C432" s="2" t="s">
        <v>279</v>
      </c>
      <c r="D432" s="2" t="s">
        <v>192</v>
      </c>
      <c r="E432" s="8" t="n">
        <v>46311</v>
      </c>
      <c r="F432" s="8" t="n">
        <v>46314</v>
      </c>
      <c r="G432" s="2" t="s">
        <v>114</v>
      </c>
      <c r="H432" s="2" t="n">
        <v>40</v>
      </c>
      <c r="I432" s="2" t="str">
        <f aca="true">IF(AND(G432&lt;&gt;"Done",E432&lt;TODAY()),"Overdue","")</f>
        <v/>
      </c>
    </row>
    <row r="433" customFormat="false" ht="15" hidden="false" customHeight="false" outlineLevel="0" collapsed="false">
      <c r="A433" s="2" t="n">
        <v>432</v>
      </c>
      <c r="B433" s="2" t="n">
        <v>19</v>
      </c>
      <c r="C433" s="2" t="s">
        <v>324</v>
      </c>
      <c r="D433" s="2" t="s">
        <v>113</v>
      </c>
      <c r="E433" s="8" t="n">
        <v>46077</v>
      </c>
      <c r="F433" s="8"/>
      <c r="G433" s="2" t="s">
        <v>88</v>
      </c>
      <c r="H433" s="2" t="n">
        <v>40</v>
      </c>
      <c r="I433" s="2" t="str">
        <f aca="true">IF(AND(G433&lt;&gt;"Done",E433&lt;TODAY()),"Overdue","")</f>
        <v>Overdue</v>
      </c>
    </row>
    <row r="434" customFormat="false" ht="15" hidden="false" customHeight="false" outlineLevel="0" collapsed="false">
      <c r="A434" s="2" t="n">
        <v>433</v>
      </c>
      <c r="B434" s="2" t="n">
        <v>19</v>
      </c>
      <c r="C434" s="2" t="s">
        <v>272</v>
      </c>
      <c r="D434" s="2" t="s">
        <v>138</v>
      </c>
      <c r="E434" s="8" t="n">
        <v>46299</v>
      </c>
      <c r="F434" s="8"/>
      <c r="G434" s="2" t="s">
        <v>48</v>
      </c>
      <c r="H434" s="2" t="n">
        <v>16</v>
      </c>
      <c r="I434" s="2" t="str">
        <f aca="true">IF(AND(G434&lt;&gt;"Done",E434&lt;TODAY()),"Overdue","")</f>
        <v/>
      </c>
    </row>
    <row r="435" customFormat="false" ht="15" hidden="false" customHeight="false" outlineLevel="0" collapsed="false">
      <c r="A435" s="2" t="n">
        <v>434</v>
      </c>
      <c r="B435" s="2" t="n">
        <v>19</v>
      </c>
      <c r="C435" s="2" t="s">
        <v>325</v>
      </c>
      <c r="D435" s="2" t="s">
        <v>144</v>
      </c>
      <c r="E435" s="8" t="n">
        <v>46334</v>
      </c>
      <c r="F435" s="8" t="n">
        <v>46328</v>
      </c>
      <c r="G435" s="2" t="s">
        <v>114</v>
      </c>
      <c r="H435" s="2" t="n">
        <v>4</v>
      </c>
      <c r="I435" s="2" t="str">
        <f aca="true">IF(AND(G435&lt;&gt;"Done",E435&lt;TODAY()),"Overdue","")</f>
        <v/>
      </c>
    </row>
    <row r="436" customFormat="false" ht="15" hidden="false" customHeight="false" outlineLevel="0" collapsed="false">
      <c r="A436" s="2" t="n">
        <v>435</v>
      </c>
      <c r="B436" s="2" t="n">
        <v>19</v>
      </c>
      <c r="C436" s="2" t="s">
        <v>272</v>
      </c>
      <c r="D436" s="2" t="s">
        <v>103</v>
      </c>
      <c r="E436" s="8" t="n">
        <v>46162</v>
      </c>
      <c r="F436" s="8" t="n">
        <v>46167</v>
      </c>
      <c r="G436" s="2" t="s">
        <v>114</v>
      </c>
      <c r="H436" s="2" t="n">
        <v>8</v>
      </c>
      <c r="I436" s="2" t="str">
        <f aca="true">IF(AND(G436&lt;&gt;"Done",E436&lt;TODAY()),"Overdue","")</f>
        <v/>
      </c>
    </row>
    <row r="437" customFormat="false" ht="15" hidden="false" customHeight="false" outlineLevel="0" collapsed="false">
      <c r="A437" s="2" t="n">
        <v>436</v>
      </c>
      <c r="B437" s="2" t="n">
        <v>19</v>
      </c>
      <c r="C437" s="2" t="s">
        <v>211</v>
      </c>
      <c r="D437" s="2" t="s">
        <v>125</v>
      </c>
      <c r="E437" s="8" t="n">
        <v>46344</v>
      </c>
      <c r="F437" s="8"/>
      <c r="G437" s="2" t="s">
        <v>88</v>
      </c>
      <c r="H437" s="2" t="n">
        <v>60</v>
      </c>
      <c r="I437" s="2" t="str">
        <f aca="true">IF(AND(G437&lt;&gt;"Done",E437&lt;TODAY()),"Overdue","")</f>
        <v/>
      </c>
    </row>
    <row r="438" customFormat="false" ht="15" hidden="false" customHeight="false" outlineLevel="0" collapsed="false">
      <c r="A438" s="2" t="n">
        <v>437</v>
      </c>
      <c r="B438" s="2" t="n">
        <v>19</v>
      </c>
      <c r="C438" s="2" t="s">
        <v>187</v>
      </c>
      <c r="D438" s="2" t="s">
        <v>229</v>
      </c>
      <c r="E438" s="8" t="n">
        <v>46332</v>
      </c>
      <c r="F438" s="8"/>
      <c r="G438" s="2" t="s">
        <v>48</v>
      </c>
      <c r="H438" s="2" t="n">
        <v>80</v>
      </c>
      <c r="I438" s="2" t="str">
        <f aca="true">IF(AND(G438&lt;&gt;"Done",E438&lt;TODAY()),"Overdue","")</f>
        <v/>
      </c>
    </row>
    <row r="439" customFormat="false" ht="15" hidden="false" customHeight="false" outlineLevel="0" collapsed="false">
      <c r="A439" s="2" t="n">
        <v>438</v>
      </c>
      <c r="B439" s="2" t="n">
        <v>20</v>
      </c>
      <c r="C439" s="2" t="s">
        <v>326</v>
      </c>
      <c r="D439" s="2" t="s">
        <v>192</v>
      </c>
      <c r="E439" s="8" t="n">
        <v>46123</v>
      </c>
      <c r="F439" s="8"/>
      <c r="G439" s="2" t="s">
        <v>48</v>
      </c>
      <c r="H439" s="2" t="n">
        <v>24</v>
      </c>
      <c r="I439" s="2" t="str">
        <f aca="true">IF(AND(G439&lt;&gt;"Done",E439&lt;TODAY()),"Overdue","")</f>
        <v>Overdue</v>
      </c>
    </row>
    <row r="440" customFormat="false" ht="15" hidden="false" customHeight="false" outlineLevel="0" collapsed="false">
      <c r="A440" s="2" t="n">
        <v>439</v>
      </c>
      <c r="B440" s="2" t="n">
        <v>20</v>
      </c>
      <c r="C440" s="2" t="s">
        <v>240</v>
      </c>
      <c r="D440" s="2" t="s">
        <v>201</v>
      </c>
      <c r="E440" s="8" t="n">
        <v>45985</v>
      </c>
      <c r="F440" s="8" t="n">
        <v>45988</v>
      </c>
      <c r="G440" s="2" t="s">
        <v>114</v>
      </c>
      <c r="H440" s="2" t="n">
        <v>40</v>
      </c>
      <c r="I440" s="2" t="str">
        <f aca="true">IF(AND(G440&lt;&gt;"Done",E440&lt;TODAY()),"Overdue","")</f>
        <v/>
      </c>
    </row>
    <row r="441" customFormat="false" ht="15" hidden="false" customHeight="false" outlineLevel="0" collapsed="false">
      <c r="A441" s="2" t="n">
        <v>440</v>
      </c>
      <c r="B441" s="2" t="n">
        <v>20</v>
      </c>
      <c r="C441" s="2" t="s">
        <v>326</v>
      </c>
      <c r="D441" s="2" t="s">
        <v>92</v>
      </c>
      <c r="E441" s="8" t="n">
        <v>46070</v>
      </c>
      <c r="F441" s="8"/>
      <c r="G441" s="2" t="s">
        <v>101</v>
      </c>
      <c r="H441" s="2" t="n">
        <v>16</v>
      </c>
      <c r="I441" s="2" t="str">
        <f aca="true">IF(AND(G441&lt;&gt;"Done",E441&lt;TODAY()),"Overdue","")</f>
        <v>Overdue</v>
      </c>
    </row>
    <row r="442" customFormat="false" ht="15" hidden="false" customHeight="false" outlineLevel="0" collapsed="false">
      <c r="A442" s="2" t="n">
        <v>441</v>
      </c>
      <c r="B442" s="2" t="n">
        <v>20</v>
      </c>
      <c r="C442" s="2" t="s">
        <v>289</v>
      </c>
      <c r="D442" s="2" t="s">
        <v>125</v>
      </c>
      <c r="E442" s="8" t="n">
        <v>46097</v>
      </c>
      <c r="F442" s="8"/>
      <c r="G442" s="2" t="s">
        <v>48</v>
      </c>
      <c r="H442" s="2" t="n">
        <v>24</v>
      </c>
      <c r="I442" s="2" t="str">
        <f aca="true">IF(AND(G442&lt;&gt;"Done",E442&lt;TODAY()),"Overdue","")</f>
        <v>Overdue</v>
      </c>
    </row>
    <row r="443" customFormat="false" ht="15" hidden="false" customHeight="false" outlineLevel="0" collapsed="false">
      <c r="A443" s="2" t="n">
        <v>442</v>
      </c>
      <c r="B443" s="2" t="n">
        <v>20</v>
      </c>
      <c r="C443" s="2" t="s">
        <v>266</v>
      </c>
      <c r="D443" s="2" t="s">
        <v>41</v>
      </c>
      <c r="E443" s="8" t="n">
        <v>45962</v>
      </c>
      <c r="F443" s="8"/>
      <c r="G443" s="2" t="s">
        <v>48</v>
      </c>
      <c r="H443" s="2" t="n">
        <v>80</v>
      </c>
      <c r="I443" s="2" t="str">
        <f aca="true">IF(AND(G443&lt;&gt;"Done",E443&lt;TODAY()),"Overdue","")</f>
        <v>Overdue</v>
      </c>
    </row>
    <row r="444" customFormat="false" ht="15" hidden="false" customHeight="false" outlineLevel="0" collapsed="false">
      <c r="A444" s="2" t="n">
        <v>443</v>
      </c>
      <c r="B444" s="2" t="n">
        <v>20</v>
      </c>
      <c r="C444" s="2" t="s">
        <v>327</v>
      </c>
      <c r="D444" s="2" t="s">
        <v>57</v>
      </c>
      <c r="E444" s="8" t="n">
        <v>46183</v>
      </c>
      <c r="F444" s="8"/>
      <c r="G444" s="2" t="s">
        <v>88</v>
      </c>
      <c r="H444" s="2" t="n">
        <v>4</v>
      </c>
      <c r="I444" s="2" t="str">
        <f aca="true">IF(AND(G444&lt;&gt;"Done",E444&lt;TODAY()),"Overdue","")</f>
        <v/>
      </c>
    </row>
    <row r="445" customFormat="false" ht="15" hidden="false" customHeight="false" outlineLevel="0" collapsed="false">
      <c r="A445" s="2" t="n">
        <v>444</v>
      </c>
      <c r="B445" s="2" t="n">
        <v>20</v>
      </c>
      <c r="C445" s="2" t="s">
        <v>263</v>
      </c>
      <c r="D445" s="2" t="s">
        <v>92</v>
      </c>
      <c r="E445" s="8" t="n">
        <v>46004</v>
      </c>
      <c r="F445" s="8"/>
      <c r="G445" s="2" t="s">
        <v>88</v>
      </c>
      <c r="H445" s="2" t="n">
        <v>8</v>
      </c>
      <c r="I445" s="2" t="str">
        <f aca="true">IF(AND(G445&lt;&gt;"Done",E445&lt;TODAY()),"Overdue","")</f>
        <v>Overdue</v>
      </c>
    </row>
    <row r="446" customFormat="false" ht="15" hidden="false" customHeight="false" outlineLevel="0" collapsed="false">
      <c r="A446" s="2" t="n">
        <v>445</v>
      </c>
      <c r="B446" s="2" t="n">
        <v>20</v>
      </c>
      <c r="C446" s="2" t="s">
        <v>328</v>
      </c>
      <c r="D446" s="2" t="s">
        <v>95</v>
      </c>
      <c r="E446" s="8" t="n">
        <v>46066</v>
      </c>
      <c r="F446" s="8"/>
      <c r="G446" s="2" t="s">
        <v>88</v>
      </c>
      <c r="H446" s="2" t="n">
        <v>16</v>
      </c>
      <c r="I446" s="2" t="str">
        <f aca="true">IF(AND(G446&lt;&gt;"Done",E446&lt;TODAY()),"Overdue","")</f>
        <v>Overdue</v>
      </c>
    </row>
    <row r="447" customFormat="false" ht="15" hidden="false" customHeight="false" outlineLevel="0" collapsed="false">
      <c r="A447" s="2" t="n">
        <v>446</v>
      </c>
      <c r="B447" s="2" t="n">
        <v>20</v>
      </c>
      <c r="C447" s="2" t="s">
        <v>273</v>
      </c>
      <c r="D447" s="2" t="s">
        <v>229</v>
      </c>
      <c r="E447" s="8" t="n">
        <v>46094</v>
      </c>
      <c r="F447" s="8"/>
      <c r="G447" s="2" t="s">
        <v>88</v>
      </c>
      <c r="H447" s="2" t="n">
        <v>4</v>
      </c>
      <c r="I447" s="2" t="str">
        <f aca="true">IF(AND(G447&lt;&gt;"Done",E447&lt;TODAY()),"Overdue","")</f>
        <v>Overdue</v>
      </c>
    </row>
    <row r="448" customFormat="false" ht="15" hidden="false" customHeight="false" outlineLevel="0" collapsed="false">
      <c r="A448" s="2" t="n">
        <v>447</v>
      </c>
      <c r="B448" s="2" t="n">
        <v>20</v>
      </c>
      <c r="C448" s="2" t="s">
        <v>185</v>
      </c>
      <c r="D448" s="2" t="s">
        <v>135</v>
      </c>
      <c r="E448" s="8" t="n">
        <v>45962</v>
      </c>
      <c r="F448" s="8"/>
      <c r="G448" s="2" t="s">
        <v>48</v>
      </c>
      <c r="H448" s="2" t="n">
        <v>24</v>
      </c>
      <c r="I448" s="2" t="str">
        <f aca="true">IF(AND(G448&lt;&gt;"Done",E448&lt;TODAY()),"Overdue","")</f>
        <v>Overdue</v>
      </c>
    </row>
    <row r="449" customFormat="false" ht="15" hidden="false" customHeight="false" outlineLevel="0" collapsed="false">
      <c r="A449" s="2" t="n">
        <v>448</v>
      </c>
      <c r="B449" s="2" t="n">
        <v>20</v>
      </c>
      <c r="C449" s="2" t="s">
        <v>289</v>
      </c>
      <c r="D449" s="2" t="s">
        <v>41</v>
      </c>
      <c r="E449" s="8" t="n">
        <v>45919</v>
      </c>
      <c r="F449" s="8"/>
      <c r="G449" s="2" t="s">
        <v>88</v>
      </c>
      <c r="H449" s="2" t="n">
        <v>40</v>
      </c>
      <c r="I449" s="2" t="str">
        <f aca="true">IF(AND(G449&lt;&gt;"Done",E449&lt;TODAY()),"Overdue","")</f>
        <v>Overdue</v>
      </c>
    </row>
    <row r="450" customFormat="false" ht="15" hidden="false" customHeight="false" outlineLevel="0" collapsed="false">
      <c r="A450" s="2" t="n">
        <v>449</v>
      </c>
      <c r="B450" s="2" t="n">
        <v>20</v>
      </c>
      <c r="C450" s="2" t="s">
        <v>166</v>
      </c>
      <c r="D450" s="2" t="s">
        <v>111</v>
      </c>
      <c r="E450" s="8" t="n">
        <v>46173</v>
      </c>
      <c r="F450" s="8" t="n">
        <v>46178</v>
      </c>
      <c r="G450" s="2" t="s">
        <v>114</v>
      </c>
      <c r="H450" s="2" t="n">
        <v>24</v>
      </c>
      <c r="I450" s="2" t="str">
        <f aca="true">IF(AND(G450&lt;&gt;"Done",E450&lt;TODAY()),"Overdue","")</f>
        <v/>
      </c>
    </row>
    <row r="451" customFormat="false" ht="15" hidden="false" customHeight="false" outlineLevel="0" collapsed="false">
      <c r="A451" s="2" t="n">
        <v>450</v>
      </c>
      <c r="B451" s="2" t="n">
        <v>20</v>
      </c>
      <c r="C451" s="2" t="s">
        <v>322</v>
      </c>
      <c r="D451" s="2" t="s">
        <v>109</v>
      </c>
      <c r="E451" s="8" t="n">
        <v>45910</v>
      </c>
      <c r="F451" s="8"/>
      <c r="G451" s="2" t="s">
        <v>48</v>
      </c>
      <c r="H451" s="2" t="n">
        <v>40</v>
      </c>
      <c r="I451" s="2" t="str">
        <f aca="true">IF(AND(G451&lt;&gt;"Done",E451&lt;TODAY()),"Overdue","")</f>
        <v>Overdue</v>
      </c>
    </row>
    <row r="452" customFormat="false" ht="15" hidden="false" customHeight="false" outlineLevel="0" collapsed="false">
      <c r="A452" s="2" t="n">
        <v>451</v>
      </c>
      <c r="B452" s="2" t="n">
        <v>20</v>
      </c>
      <c r="C452" s="2" t="s">
        <v>236</v>
      </c>
      <c r="D452" s="2" t="s">
        <v>229</v>
      </c>
      <c r="E452" s="8" t="n">
        <v>46133</v>
      </c>
      <c r="F452" s="8"/>
      <c r="G452" s="2" t="s">
        <v>88</v>
      </c>
      <c r="H452" s="2" t="n">
        <v>16</v>
      </c>
      <c r="I452" s="2" t="str">
        <f aca="true">IF(AND(G452&lt;&gt;"Done",E452&lt;TODAY()),"Overdue","")</f>
        <v>Overdue</v>
      </c>
    </row>
    <row r="453" customFormat="false" ht="15" hidden="false" customHeight="false" outlineLevel="0" collapsed="false">
      <c r="A453" s="2" t="n">
        <v>452</v>
      </c>
      <c r="B453" s="2" t="n">
        <v>20</v>
      </c>
      <c r="C453" s="2" t="s">
        <v>237</v>
      </c>
      <c r="D453" s="2" t="s">
        <v>286</v>
      </c>
      <c r="E453" s="8" t="n">
        <v>46021</v>
      </c>
      <c r="F453" s="8"/>
      <c r="G453" s="2" t="s">
        <v>88</v>
      </c>
      <c r="H453" s="2" t="n">
        <v>24</v>
      </c>
      <c r="I453" s="2" t="str">
        <f aca="true">IF(AND(G453&lt;&gt;"Done",E453&lt;TODAY()),"Overdue","")</f>
        <v>Overdue</v>
      </c>
    </row>
    <row r="454" customFormat="false" ht="15" hidden="false" customHeight="false" outlineLevel="0" collapsed="false">
      <c r="A454" s="2" t="n">
        <v>453</v>
      </c>
      <c r="B454" s="2" t="n">
        <v>20</v>
      </c>
      <c r="C454" s="2" t="s">
        <v>183</v>
      </c>
      <c r="D454" s="2" t="s">
        <v>57</v>
      </c>
      <c r="E454" s="8" t="n">
        <v>46008</v>
      </c>
      <c r="F454" s="8"/>
      <c r="G454" s="2" t="s">
        <v>48</v>
      </c>
      <c r="H454" s="2" t="n">
        <v>16</v>
      </c>
      <c r="I454" s="2" t="str">
        <f aca="true">IF(AND(G454&lt;&gt;"Done",E454&lt;TODAY()),"Overdue","")</f>
        <v>Overdue</v>
      </c>
    </row>
    <row r="455" customFormat="false" ht="15" hidden="false" customHeight="false" outlineLevel="0" collapsed="false">
      <c r="A455" s="2" t="n">
        <v>454</v>
      </c>
      <c r="B455" s="2" t="n">
        <v>20</v>
      </c>
      <c r="C455" s="2" t="s">
        <v>132</v>
      </c>
      <c r="D455" s="2" t="s">
        <v>131</v>
      </c>
      <c r="E455" s="8" t="n">
        <v>45995</v>
      </c>
      <c r="F455" s="8" t="n">
        <v>46003</v>
      </c>
      <c r="G455" s="2" t="s">
        <v>114</v>
      </c>
      <c r="H455" s="2" t="n">
        <v>24</v>
      </c>
      <c r="I455" s="2" t="str">
        <f aca="true">IF(AND(G455&lt;&gt;"Done",E455&lt;TODAY()),"Overdue","")</f>
        <v/>
      </c>
    </row>
  </sheetData>
  <conditionalFormatting sqref="I2:I455">
    <cfRule type="cellIs" priority="2" operator="equal" aboveAverage="0" equalAverage="0" bottom="0" percent="0" rank="0" text="" dxfId="10">
      <formula>"Overdue"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5"/>
  </cols>
  <sheetData>
    <row r="1" customFormat="false" ht="15" hidden="false" customHeight="false" outlineLevel="0" collapsed="false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334</v>
      </c>
    </row>
    <row r="2" customFormat="false" ht="15" hidden="false" customHeight="false" outlineLevel="0" collapsed="false">
      <c r="A2" s="2" t="n">
        <v>1</v>
      </c>
      <c r="B2" s="2" t="s">
        <v>95</v>
      </c>
      <c r="C2" s="2" t="s">
        <v>335</v>
      </c>
      <c r="D2" s="8" t="n">
        <v>46090</v>
      </c>
      <c r="E2" s="2" t="n">
        <v>38.33</v>
      </c>
      <c r="F2" s="2" t="str">
        <f aca="false">IF(E2&gt;45,"Overallocated",IF(E2&lt;30,"Underutilized","OK"))</f>
        <v>OK</v>
      </c>
    </row>
    <row r="3" customFormat="false" ht="15" hidden="false" customHeight="false" outlineLevel="0" collapsed="false">
      <c r="A3" s="2" t="n">
        <v>2</v>
      </c>
      <c r="B3" s="2" t="s">
        <v>47</v>
      </c>
      <c r="C3" s="2" t="s">
        <v>336</v>
      </c>
      <c r="D3" s="8" t="n">
        <v>46090</v>
      </c>
      <c r="E3" s="2" t="n">
        <v>63.74</v>
      </c>
      <c r="F3" s="2" t="str">
        <f aca="false">IF(E3&gt;45,"Overallocated",IF(E3&lt;30,"Underutilized","OK"))</f>
        <v>Overallocated</v>
      </c>
    </row>
    <row r="4" customFormat="false" ht="15" hidden="false" customHeight="false" outlineLevel="0" collapsed="false">
      <c r="A4" s="2" t="n">
        <v>3</v>
      </c>
      <c r="B4" s="2" t="s">
        <v>44</v>
      </c>
      <c r="C4" s="2" t="s">
        <v>337</v>
      </c>
      <c r="D4" s="8" t="n">
        <v>46090</v>
      </c>
      <c r="E4" s="2" t="n">
        <v>42.74</v>
      </c>
      <c r="F4" s="2" t="str">
        <f aca="false">IF(E4&gt;45,"Overallocated",IF(E4&lt;30,"Underutilized","OK"))</f>
        <v>OK</v>
      </c>
    </row>
    <row r="5" customFormat="false" ht="15" hidden="false" customHeight="false" outlineLevel="0" collapsed="false">
      <c r="A5" s="2" t="n">
        <v>4</v>
      </c>
      <c r="B5" s="2" t="s">
        <v>66</v>
      </c>
      <c r="C5" s="2" t="s">
        <v>336</v>
      </c>
      <c r="D5" s="8" t="n">
        <v>46090</v>
      </c>
      <c r="E5" s="2" t="n">
        <v>28.47</v>
      </c>
      <c r="F5" s="2" t="str">
        <f aca="false">IF(E5&gt;45,"Overallocated",IF(E5&lt;30,"Underutilized","OK"))</f>
        <v>Underutilized</v>
      </c>
    </row>
    <row r="6" customFormat="false" ht="15" hidden="false" customHeight="false" outlineLevel="0" collapsed="false">
      <c r="A6" s="2" t="n">
        <v>5</v>
      </c>
      <c r="B6" s="2" t="s">
        <v>57</v>
      </c>
      <c r="C6" s="2" t="s">
        <v>337</v>
      </c>
      <c r="D6" s="8" t="n">
        <v>46090</v>
      </c>
      <c r="E6" s="2" t="n">
        <v>35.98</v>
      </c>
      <c r="F6" s="2" t="str">
        <f aca="false">IF(E6&gt;45,"Overallocated",IF(E6&lt;30,"Underutilized","OK"))</f>
        <v>OK</v>
      </c>
    </row>
    <row r="7" customFormat="false" ht="15" hidden="false" customHeight="false" outlineLevel="0" collapsed="false">
      <c r="A7" s="2" t="n">
        <v>6</v>
      </c>
      <c r="B7" s="2" t="s">
        <v>41</v>
      </c>
      <c r="C7" s="2" t="s">
        <v>336</v>
      </c>
      <c r="D7" s="8" t="n">
        <v>46090</v>
      </c>
      <c r="E7" s="2" t="n">
        <v>31.42</v>
      </c>
      <c r="F7" s="2" t="str">
        <f aca="false">IF(E7&gt;45,"Overallocated",IF(E7&lt;30,"Underutilized","OK"))</f>
        <v>OK</v>
      </c>
    </row>
    <row r="8" customFormat="false" ht="15" hidden="false" customHeight="false" outlineLevel="0" collapsed="false">
      <c r="A8" s="2" t="n">
        <v>7</v>
      </c>
      <c r="B8" s="2" t="s">
        <v>192</v>
      </c>
      <c r="C8" s="2" t="s">
        <v>336</v>
      </c>
      <c r="D8" s="8" t="n">
        <v>46090</v>
      </c>
      <c r="E8" s="2" t="n">
        <v>41.95</v>
      </c>
      <c r="F8" s="2" t="str">
        <f aca="false">IF(E8&gt;45,"Overallocated",IF(E8&lt;30,"Underutilized","OK"))</f>
        <v>OK</v>
      </c>
    </row>
    <row r="9" customFormat="false" ht="15" hidden="false" customHeight="false" outlineLevel="0" collapsed="false">
      <c r="A9" s="2" t="n">
        <v>9</v>
      </c>
      <c r="B9" s="2" t="s">
        <v>229</v>
      </c>
      <c r="C9" s="2" t="s">
        <v>335</v>
      </c>
      <c r="D9" s="8" t="n">
        <v>46090</v>
      </c>
      <c r="E9" s="2" t="n">
        <v>35.76</v>
      </c>
      <c r="F9" s="2" t="str">
        <f aca="false">IF(E9&gt;45,"Overallocated",IF(E9&lt;30,"Underutilized","OK"))</f>
        <v>OK</v>
      </c>
    </row>
    <row r="10" customFormat="false" ht="15" hidden="false" customHeight="false" outlineLevel="0" collapsed="false">
      <c r="A10" s="2" t="n">
        <v>11</v>
      </c>
      <c r="B10" s="2" t="s">
        <v>286</v>
      </c>
      <c r="C10" s="2" t="s">
        <v>337</v>
      </c>
      <c r="D10" s="8" t="n">
        <v>46090</v>
      </c>
      <c r="E10" s="2" t="n">
        <v>41.29</v>
      </c>
      <c r="F10" s="2" t="str">
        <f aca="false">IF(E10&gt;45,"Overallocated",IF(E10&lt;30,"Underutilized","OK"))</f>
        <v>OK</v>
      </c>
    </row>
    <row r="11" customFormat="false" ht="15" hidden="false" customHeight="false" outlineLevel="0" collapsed="false">
      <c r="A11" s="2" t="n">
        <v>12</v>
      </c>
      <c r="B11" s="2" t="s">
        <v>188</v>
      </c>
      <c r="C11" s="2" t="s">
        <v>337</v>
      </c>
      <c r="D11" s="8" t="n">
        <v>46090</v>
      </c>
      <c r="E11" s="2" t="n">
        <v>33.24</v>
      </c>
      <c r="F11" s="2" t="str">
        <f aca="false">IF(E11&gt;45,"Overallocated",IF(E11&lt;30,"Underutilized","OK"))</f>
        <v>OK</v>
      </c>
    </row>
    <row r="12" customFormat="false" ht="15" hidden="false" customHeight="false" outlineLevel="0" collapsed="false">
      <c r="A12" s="2" t="n">
        <v>13</v>
      </c>
      <c r="B12" s="2" t="s">
        <v>131</v>
      </c>
      <c r="C12" s="2" t="s">
        <v>338</v>
      </c>
      <c r="D12" s="8" t="n">
        <v>46090</v>
      </c>
      <c r="E12" s="2" t="n">
        <v>37.67</v>
      </c>
      <c r="F12" s="2" t="str">
        <f aca="false">IF(E12&gt;45,"Overallocated",IF(E12&lt;30,"Underutilized","OK"))</f>
        <v>OK</v>
      </c>
    </row>
    <row r="13" customFormat="false" ht="15" hidden="false" customHeight="false" outlineLevel="0" collapsed="false">
      <c r="A13" s="2" t="n">
        <v>14</v>
      </c>
      <c r="B13" s="2" t="s">
        <v>249</v>
      </c>
      <c r="C13" s="2" t="s">
        <v>335</v>
      </c>
      <c r="D13" s="8" t="n">
        <v>46090</v>
      </c>
      <c r="E13" s="2" t="n">
        <v>37.04</v>
      </c>
      <c r="F13" s="2" t="str">
        <f aca="false">IF(E13&gt;45,"Overallocated",IF(E13&lt;30,"Underutilized","OK"))</f>
        <v>OK</v>
      </c>
    </row>
    <row r="14" customFormat="false" ht="15" hidden="false" customHeight="false" outlineLevel="0" collapsed="false">
      <c r="A14" s="2" t="n">
        <v>15</v>
      </c>
      <c r="B14" s="2" t="s">
        <v>153</v>
      </c>
      <c r="C14" s="2" t="s">
        <v>339</v>
      </c>
      <c r="D14" s="8" t="n">
        <v>46090</v>
      </c>
      <c r="E14" s="2" t="n">
        <v>47.22</v>
      </c>
      <c r="F14" s="2" t="str">
        <f aca="false">IF(E14&gt;45,"Overallocated",IF(E14&lt;30,"Underutilized","OK"))</f>
        <v>Overallocated</v>
      </c>
    </row>
    <row r="15" customFormat="false" ht="15" hidden="false" customHeight="false" outlineLevel="0" collapsed="false">
      <c r="A15" s="2" t="n">
        <v>16</v>
      </c>
      <c r="B15" s="2" t="s">
        <v>109</v>
      </c>
      <c r="C15" s="2" t="s">
        <v>339</v>
      </c>
      <c r="D15" s="8" t="n">
        <v>46090</v>
      </c>
      <c r="E15" s="2" t="n">
        <v>41.15</v>
      </c>
      <c r="F15" s="2" t="str">
        <f aca="false">IF(E15&gt;45,"Overallocated",IF(E15&lt;30,"Underutilized","OK"))</f>
        <v>OK</v>
      </c>
    </row>
    <row r="16" customFormat="false" ht="15" hidden="false" customHeight="false" outlineLevel="0" collapsed="false">
      <c r="A16" s="2" t="n">
        <v>17</v>
      </c>
      <c r="B16" s="2" t="s">
        <v>87</v>
      </c>
      <c r="C16" s="2" t="s">
        <v>337</v>
      </c>
      <c r="D16" s="8" t="n">
        <v>46090</v>
      </c>
      <c r="E16" s="2" t="n">
        <v>34.9</v>
      </c>
      <c r="F16" s="2" t="str">
        <f aca="false">IF(E16&gt;45,"Overallocated",IF(E16&lt;30,"Underutilized","OK"))</f>
        <v>OK</v>
      </c>
    </row>
    <row r="17" customFormat="false" ht="15" hidden="false" customHeight="false" outlineLevel="0" collapsed="false">
      <c r="A17" s="2" t="n">
        <v>19</v>
      </c>
      <c r="B17" s="2" t="s">
        <v>90</v>
      </c>
      <c r="C17" s="2" t="s">
        <v>338</v>
      </c>
      <c r="D17" s="8" t="n">
        <v>46090</v>
      </c>
      <c r="E17" s="2" t="n">
        <v>41.53</v>
      </c>
      <c r="F17" s="2" t="str">
        <f aca="false">IF(E17&gt;45,"Overallocated",IF(E17&lt;30,"Underutilized","OK"))</f>
        <v>OK</v>
      </c>
    </row>
    <row r="18" customFormat="false" ht="15" hidden="false" customHeight="false" outlineLevel="0" collapsed="false">
      <c r="A18" s="2" t="n">
        <v>20</v>
      </c>
      <c r="B18" s="2" t="s">
        <v>103</v>
      </c>
      <c r="C18" s="2" t="s">
        <v>335</v>
      </c>
      <c r="D18" s="8" t="n">
        <v>46090</v>
      </c>
      <c r="E18" s="2" t="n">
        <v>41.54</v>
      </c>
      <c r="F18" s="2" t="str">
        <f aca="false">IF(E18&gt;45,"Overallocated",IF(E18&lt;30,"Underutilized","OK"))</f>
        <v>OK</v>
      </c>
    </row>
    <row r="19" customFormat="false" ht="15" hidden="false" customHeight="false" outlineLevel="0" collapsed="false">
      <c r="A19" s="2" t="n">
        <v>21</v>
      </c>
      <c r="B19" s="2" t="s">
        <v>144</v>
      </c>
      <c r="C19" s="2" t="s">
        <v>335</v>
      </c>
      <c r="D19" s="8" t="n">
        <v>46090</v>
      </c>
      <c r="E19" s="2" t="n">
        <v>41.82</v>
      </c>
      <c r="F19" s="2" t="str">
        <f aca="false">IF(E19&gt;45,"Overallocated",IF(E19&lt;30,"Underutilized","OK"))</f>
        <v>OK</v>
      </c>
    </row>
    <row r="20" customFormat="false" ht="15" hidden="false" customHeight="false" outlineLevel="0" collapsed="false">
      <c r="A20" s="2" t="n">
        <v>22</v>
      </c>
      <c r="B20" s="2" t="s">
        <v>155</v>
      </c>
      <c r="C20" s="2" t="s">
        <v>336</v>
      </c>
      <c r="D20" s="8" t="n">
        <v>46090</v>
      </c>
      <c r="E20" s="2" t="n">
        <v>30.51</v>
      </c>
      <c r="F20" s="2" t="str">
        <f aca="false">IF(E20&gt;45,"Overallocated",IF(E20&lt;30,"Underutilized","OK"))</f>
        <v>OK</v>
      </c>
    </row>
    <row r="21" customFormat="false" ht="15" hidden="false" customHeight="false" outlineLevel="0" collapsed="false">
      <c r="A21" s="2" t="n">
        <v>23</v>
      </c>
      <c r="B21" s="2" t="s">
        <v>105</v>
      </c>
      <c r="C21" s="2" t="s">
        <v>336</v>
      </c>
      <c r="D21" s="8" t="n">
        <v>46090</v>
      </c>
      <c r="E21" s="2" t="n">
        <v>38.03</v>
      </c>
      <c r="F21" s="2" t="str">
        <f aca="false">IF(E21&gt;45,"Overallocated",IF(E21&lt;30,"Underutilized","OK"))</f>
        <v>OK</v>
      </c>
    </row>
    <row r="22" customFormat="false" ht="15" hidden="false" customHeight="false" outlineLevel="0" collapsed="false">
      <c r="A22" s="2" t="n">
        <v>24</v>
      </c>
      <c r="B22" s="2" t="s">
        <v>100</v>
      </c>
      <c r="C22" s="2" t="s">
        <v>338</v>
      </c>
      <c r="D22" s="8" t="n">
        <v>46090</v>
      </c>
      <c r="E22" s="2" t="n">
        <v>33.51</v>
      </c>
      <c r="F22" s="2" t="str">
        <f aca="false">IF(E22&gt;45,"Overallocated",IF(E22&lt;30,"Underutilized","OK"))</f>
        <v>OK</v>
      </c>
    </row>
    <row r="23" customFormat="false" ht="15" hidden="false" customHeight="false" outlineLevel="0" collapsed="false">
      <c r="A23" s="2" t="n">
        <v>25</v>
      </c>
      <c r="B23" s="2" t="s">
        <v>125</v>
      </c>
      <c r="C23" s="2" t="s">
        <v>339</v>
      </c>
      <c r="D23" s="8" t="n">
        <v>46090</v>
      </c>
      <c r="E23" s="2" t="n">
        <v>40.91</v>
      </c>
      <c r="F23" s="2" t="str">
        <f aca="false">IF(E23&gt;45,"Overallocated",IF(E23&lt;30,"Underutilized","OK"))</f>
        <v>OK</v>
      </c>
    </row>
    <row r="24" customFormat="false" ht="15" hidden="false" customHeight="false" outlineLevel="0" collapsed="false">
      <c r="A24" s="2" t="n">
        <v>26</v>
      </c>
      <c r="B24" s="2" t="s">
        <v>162</v>
      </c>
      <c r="C24" s="2" t="s">
        <v>335</v>
      </c>
      <c r="D24" s="8" t="n">
        <v>46090</v>
      </c>
      <c r="E24" s="2" t="n">
        <v>39.74</v>
      </c>
      <c r="F24" s="2" t="str">
        <f aca="false">IF(E24&gt;45,"Overallocated",IF(E24&lt;30,"Underutilized","OK"))</f>
        <v>OK</v>
      </c>
    </row>
    <row r="25" customFormat="false" ht="15" hidden="false" customHeight="false" outlineLevel="0" collapsed="false">
      <c r="A25" s="2" t="n">
        <v>28</v>
      </c>
      <c r="B25" s="2" t="s">
        <v>160</v>
      </c>
      <c r="C25" s="2" t="s">
        <v>340</v>
      </c>
      <c r="D25" s="8" t="n">
        <v>46090</v>
      </c>
      <c r="E25" s="2" t="n">
        <v>49.49</v>
      </c>
      <c r="F25" s="2" t="str">
        <f aca="false">IF(E25&gt;45,"Overallocated",IF(E25&lt;30,"Underutilized","OK"))</f>
        <v>Overallocated</v>
      </c>
    </row>
    <row r="26" customFormat="false" ht="15" hidden="false" customHeight="false" outlineLevel="0" collapsed="false">
      <c r="A26" s="2" t="n">
        <v>29</v>
      </c>
      <c r="B26" s="2" t="s">
        <v>194</v>
      </c>
      <c r="C26" s="2" t="s">
        <v>337</v>
      </c>
      <c r="D26" s="8" t="n">
        <v>46090</v>
      </c>
      <c r="E26" s="2" t="n">
        <v>42.7</v>
      </c>
      <c r="F26" s="2" t="str">
        <f aca="false">IF(E26&gt;45,"Overallocated",IF(E26&lt;30,"Underutilized","OK"))</f>
        <v>OK</v>
      </c>
    </row>
    <row r="27" customFormat="false" ht="15" hidden="false" customHeight="false" outlineLevel="0" collapsed="false">
      <c r="A27" s="2" t="n">
        <v>30</v>
      </c>
      <c r="B27" s="2" t="s">
        <v>116</v>
      </c>
      <c r="C27" s="2" t="s">
        <v>338</v>
      </c>
      <c r="D27" s="8" t="n">
        <v>46090</v>
      </c>
      <c r="E27" s="2" t="n">
        <v>36.81</v>
      </c>
      <c r="F27" s="2" t="str">
        <f aca="false">IF(E27&gt;45,"Overallocated",IF(E27&lt;30,"Underutilized","OK"))</f>
        <v>OK</v>
      </c>
    </row>
    <row r="28" customFormat="false" ht="15" hidden="false" customHeight="false" outlineLevel="0" collapsed="false">
      <c r="A28" s="2" t="n">
        <v>32</v>
      </c>
      <c r="B28" s="2" t="s">
        <v>267</v>
      </c>
      <c r="C28" s="2" t="s">
        <v>335</v>
      </c>
      <c r="D28" s="8" t="n">
        <v>46090</v>
      </c>
      <c r="E28" s="2" t="n">
        <v>37.35</v>
      </c>
      <c r="F28" s="2" t="str">
        <f aca="false">IF(E28&gt;45,"Overallocated",IF(E28&lt;30,"Underutilized","OK"))</f>
        <v>OK</v>
      </c>
    </row>
    <row r="29" customFormat="false" ht="15" hidden="false" customHeight="false" outlineLevel="0" collapsed="false">
      <c r="A29" s="2" t="n">
        <v>34</v>
      </c>
      <c r="B29" s="2" t="s">
        <v>251</v>
      </c>
      <c r="C29" s="2" t="s">
        <v>336</v>
      </c>
      <c r="D29" s="8" t="n">
        <v>46090</v>
      </c>
      <c r="E29" s="2" t="n">
        <v>47.67</v>
      </c>
      <c r="F29" s="2" t="str">
        <f aca="false">IF(E29&gt;45,"Overallocated",IF(E29&lt;30,"Underutilized","OK"))</f>
        <v>Overallocated</v>
      </c>
    </row>
    <row r="30" customFormat="false" ht="15" hidden="false" customHeight="false" outlineLevel="0" collapsed="false">
      <c r="A30" s="2" t="n">
        <v>35</v>
      </c>
      <c r="B30" s="2" t="s">
        <v>37</v>
      </c>
      <c r="C30" s="2" t="s">
        <v>337</v>
      </c>
      <c r="D30" s="8" t="n">
        <v>46090</v>
      </c>
      <c r="E30" s="2" t="n">
        <v>47.31</v>
      </c>
      <c r="F30" s="2" t="str">
        <f aca="false">IF(E30&gt;45,"Overallocated",IF(E30&lt;30,"Underutilized","OK"))</f>
        <v>Overallocated</v>
      </c>
    </row>
    <row r="31" customFormat="false" ht="15" hidden="false" customHeight="false" outlineLevel="0" collapsed="false">
      <c r="A31" s="2" t="n">
        <v>36</v>
      </c>
      <c r="B31" s="2" t="s">
        <v>146</v>
      </c>
      <c r="C31" s="2" t="s">
        <v>339</v>
      </c>
      <c r="D31" s="8" t="n">
        <v>46090</v>
      </c>
      <c r="E31" s="2" t="n">
        <v>51.94</v>
      </c>
      <c r="F31" s="2" t="str">
        <f aca="false">IF(E31&gt;45,"Overallocated",IF(E31&lt;30,"Underutilized","OK"))</f>
        <v>Overallocated</v>
      </c>
    </row>
    <row r="32" customFormat="false" ht="15" hidden="false" customHeight="false" outlineLevel="0" collapsed="false">
      <c r="A32" s="2" t="n">
        <v>37</v>
      </c>
      <c r="B32" s="2" t="s">
        <v>175</v>
      </c>
      <c r="C32" s="2" t="s">
        <v>335</v>
      </c>
      <c r="D32" s="8" t="n">
        <v>46090</v>
      </c>
      <c r="E32" s="2" t="n">
        <v>35</v>
      </c>
      <c r="F32" s="2" t="str">
        <f aca="false">IF(E32&gt;45,"Overallocated",IF(E32&lt;30,"Underutilized","OK"))</f>
        <v>OK</v>
      </c>
    </row>
    <row r="33" customFormat="false" ht="15" hidden="false" customHeight="false" outlineLevel="0" collapsed="false">
      <c r="A33" s="2" t="n">
        <v>38</v>
      </c>
      <c r="B33" s="2" t="s">
        <v>121</v>
      </c>
      <c r="C33" s="2" t="s">
        <v>335</v>
      </c>
      <c r="D33" s="8" t="n">
        <v>46090</v>
      </c>
      <c r="E33" s="2" t="n">
        <v>41.9</v>
      </c>
      <c r="F33" s="2" t="str">
        <f aca="false">IF(E33&gt;45,"Overallocated",IF(E33&lt;30,"Underutilized","OK"))</f>
        <v>OK</v>
      </c>
    </row>
    <row r="34" customFormat="false" ht="15" hidden="false" customHeight="false" outlineLevel="0" collapsed="false">
      <c r="A34" s="2" t="n">
        <v>39</v>
      </c>
      <c r="B34" s="2" t="s">
        <v>198</v>
      </c>
      <c r="C34" s="2" t="s">
        <v>336</v>
      </c>
      <c r="D34" s="8" t="n">
        <v>46090</v>
      </c>
      <c r="E34" s="2" t="n">
        <v>41.92</v>
      </c>
      <c r="F34" s="2" t="str">
        <f aca="false">IF(E34&gt;45,"Overallocated",IF(E34&lt;30,"Underutilized","OK"))</f>
        <v>OK</v>
      </c>
    </row>
    <row r="35" customFormat="false" ht="15" hidden="false" customHeight="false" outlineLevel="0" collapsed="false">
      <c r="A35" s="2" t="n">
        <v>40</v>
      </c>
      <c r="B35" s="2" t="s">
        <v>201</v>
      </c>
      <c r="C35" s="2" t="s">
        <v>339</v>
      </c>
      <c r="D35" s="8" t="n">
        <v>46090</v>
      </c>
      <c r="E35" s="2" t="n">
        <v>45.02</v>
      </c>
      <c r="F35" s="2" t="str">
        <f aca="false">IF(E35&gt;45,"Overallocated",IF(E35&lt;30,"Underutilized","OK"))</f>
        <v>Overallocated</v>
      </c>
    </row>
    <row r="36" customFormat="false" ht="15" hidden="false" customHeight="false" outlineLevel="0" collapsed="false">
      <c r="A36" s="2" t="n">
        <v>41</v>
      </c>
      <c r="B36" s="2" t="s">
        <v>92</v>
      </c>
      <c r="C36" s="2" t="s">
        <v>336</v>
      </c>
      <c r="D36" s="8" t="n">
        <v>46090</v>
      </c>
      <c r="E36" s="2" t="n">
        <v>48.91</v>
      </c>
      <c r="F36" s="2" t="str">
        <f aca="false">IF(E36&gt;45,"Overallocated",IF(E36&lt;30,"Underutilized","OK"))</f>
        <v>Overallocated</v>
      </c>
    </row>
    <row r="37" customFormat="false" ht="15" hidden="false" customHeight="false" outlineLevel="0" collapsed="false">
      <c r="A37" s="2" t="n">
        <v>42</v>
      </c>
      <c r="B37" s="2" t="s">
        <v>165</v>
      </c>
      <c r="C37" s="2" t="s">
        <v>340</v>
      </c>
      <c r="D37" s="8" t="n">
        <v>46090</v>
      </c>
      <c r="E37" s="2" t="n">
        <v>52.84</v>
      </c>
      <c r="F37" s="2" t="str">
        <f aca="false">IF(E37&gt;45,"Overallocated",IF(E37&lt;30,"Underutilized","OK"))</f>
        <v>Overallocated</v>
      </c>
    </row>
    <row r="38" customFormat="false" ht="15" hidden="false" customHeight="false" outlineLevel="0" collapsed="false">
      <c r="A38" s="2" t="n">
        <v>44</v>
      </c>
      <c r="B38" s="2" t="s">
        <v>138</v>
      </c>
      <c r="C38" s="2" t="s">
        <v>335</v>
      </c>
      <c r="D38" s="8" t="n">
        <v>46090</v>
      </c>
      <c r="E38" s="2" t="n">
        <v>42.09</v>
      </c>
      <c r="F38" s="2" t="str">
        <f aca="false">IF(E38&gt;45,"Overallocated",IF(E38&lt;30,"Underutilized","OK"))</f>
        <v>OK</v>
      </c>
    </row>
    <row r="39" customFormat="false" ht="15" hidden="false" customHeight="false" outlineLevel="0" collapsed="false">
      <c r="A39" s="2" t="n">
        <v>45</v>
      </c>
      <c r="B39" s="2" t="s">
        <v>113</v>
      </c>
      <c r="C39" s="2" t="s">
        <v>337</v>
      </c>
      <c r="D39" s="8" t="n">
        <v>46090</v>
      </c>
      <c r="E39" s="2" t="n">
        <v>37.09</v>
      </c>
      <c r="F39" s="2" t="str">
        <f aca="false">IF(E39&gt;45,"Overallocated",IF(E39&lt;30,"Underutilized","OK"))</f>
        <v>OK</v>
      </c>
    </row>
    <row r="40" customFormat="false" ht="15" hidden="false" customHeight="false" outlineLevel="0" collapsed="false">
      <c r="A40" s="2" t="n">
        <v>46</v>
      </c>
      <c r="B40" s="2" t="s">
        <v>51</v>
      </c>
      <c r="C40" s="2" t="s">
        <v>336</v>
      </c>
      <c r="D40" s="8" t="n">
        <v>46090</v>
      </c>
      <c r="E40" s="2" t="n">
        <v>31.44</v>
      </c>
      <c r="F40" s="2" t="str">
        <f aca="false">IF(E40&gt;45,"Overallocated",IF(E40&lt;30,"Underutilized","OK"))</f>
        <v>OK</v>
      </c>
    </row>
    <row r="41" customFormat="false" ht="15" hidden="false" customHeight="false" outlineLevel="0" collapsed="false">
      <c r="A41" s="2" t="n">
        <v>47</v>
      </c>
      <c r="B41" s="2" t="s">
        <v>123</v>
      </c>
      <c r="C41" s="2" t="s">
        <v>335</v>
      </c>
      <c r="D41" s="8" t="n">
        <v>46090</v>
      </c>
      <c r="E41" s="2" t="n">
        <v>40.57</v>
      </c>
      <c r="F41" s="2" t="str">
        <f aca="false">IF(E41&gt;45,"Overallocated",IF(E41&lt;30,"Underutilized","OK"))</f>
        <v>OK</v>
      </c>
    </row>
    <row r="42" customFormat="false" ht="15" hidden="false" customHeight="false" outlineLevel="0" collapsed="false">
      <c r="A42" s="2" t="n">
        <v>48</v>
      </c>
      <c r="B42" s="2" t="s">
        <v>97</v>
      </c>
      <c r="C42" s="2" t="s">
        <v>336</v>
      </c>
      <c r="D42" s="8" t="n">
        <v>46090</v>
      </c>
      <c r="E42" s="2" t="n">
        <v>41.02</v>
      </c>
      <c r="F42" s="2" t="str">
        <f aca="false">IF(E42&gt;45,"Overallocated",IF(E42&lt;30,"Underutilized","OK"))</f>
        <v>OK</v>
      </c>
    </row>
    <row r="43" customFormat="false" ht="15" hidden="false" customHeight="false" outlineLevel="0" collapsed="false">
      <c r="A43" s="2" t="n">
        <v>49</v>
      </c>
      <c r="B43" s="2" t="s">
        <v>148</v>
      </c>
      <c r="C43" s="2" t="s">
        <v>336</v>
      </c>
      <c r="D43" s="8" t="n">
        <v>46090</v>
      </c>
      <c r="E43" s="2" t="n">
        <v>43.88</v>
      </c>
      <c r="F43" s="2" t="str">
        <f aca="false">IF(E43&gt;45,"Overallocated",IF(E43&lt;30,"Underutilized","OK"))</f>
        <v>OK</v>
      </c>
    </row>
    <row r="44" customFormat="false" ht="15" hidden="false" customHeight="false" outlineLevel="0" collapsed="false">
      <c r="A44" s="2" t="n">
        <v>1</v>
      </c>
      <c r="B44" s="2" t="s">
        <v>95</v>
      </c>
      <c r="C44" s="2" t="s">
        <v>335</v>
      </c>
      <c r="D44" s="8" t="n">
        <v>46097</v>
      </c>
      <c r="E44" s="2" t="n">
        <v>40.82</v>
      </c>
      <c r="F44" s="2" t="str">
        <f aca="false">IF(E44&gt;45,"Overallocated",IF(E44&lt;30,"Underutilized","OK"))</f>
        <v>OK</v>
      </c>
    </row>
    <row r="45" customFormat="false" ht="15" hidden="false" customHeight="false" outlineLevel="0" collapsed="false">
      <c r="A45" s="2" t="n">
        <v>2</v>
      </c>
      <c r="B45" s="2" t="s">
        <v>47</v>
      </c>
      <c r="C45" s="2" t="s">
        <v>336</v>
      </c>
      <c r="D45" s="8" t="n">
        <v>46097</v>
      </c>
      <c r="E45" s="2" t="n">
        <v>36.02</v>
      </c>
      <c r="F45" s="2" t="str">
        <f aca="false">IF(E45&gt;45,"Overallocated",IF(E45&lt;30,"Underutilized","OK"))</f>
        <v>OK</v>
      </c>
    </row>
    <row r="46" customFormat="false" ht="15" hidden="false" customHeight="false" outlineLevel="0" collapsed="false">
      <c r="A46" s="2" t="n">
        <v>3</v>
      </c>
      <c r="B46" s="2" t="s">
        <v>44</v>
      </c>
      <c r="C46" s="2" t="s">
        <v>337</v>
      </c>
      <c r="D46" s="8" t="n">
        <v>46097</v>
      </c>
      <c r="E46" s="2" t="n">
        <v>36.71</v>
      </c>
      <c r="F46" s="2" t="str">
        <f aca="false">IF(E46&gt;45,"Overallocated",IF(E46&lt;30,"Underutilized","OK"))</f>
        <v>OK</v>
      </c>
    </row>
    <row r="47" customFormat="false" ht="15" hidden="false" customHeight="false" outlineLevel="0" collapsed="false">
      <c r="A47" s="2" t="n">
        <v>4</v>
      </c>
      <c r="B47" s="2" t="s">
        <v>66</v>
      </c>
      <c r="C47" s="2" t="s">
        <v>336</v>
      </c>
      <c r="D47" s="8" t="n">
        <v>46097</v>
      </c>
      <c r="E47" s="2" t="n">
        <v>42.16</v>
      </c>
      <c r="F47" s="2" t="str">
        <f aca="false">IF(E47&gt;45,"Overallocated",IF(E47&lt;30,"Underutilized","OK"))</f>
        <v>OK</v>
      </c>
    </row>
    <row r="48" customFormat="false" ht="15" hidden="false" customHeight="false" outlineLevel="0" collapsed="false">
      <c r="A48" s="2" t="n">
        <v>5</v>
      </c>
      <c r="B48" s="2" t="s">
        <v>57</v>
      </c>
      <c r="C48" s="2" t="s">
        <v>337</v>
      </c>
      <c r="D48" s="8" t="n">
        <v>46097</v>
      </c>
      <c r="E48" s="2" t="n">
        <v>36.33</v>
      </c>
      <c r="F48" s="2" t="str">
        <f aca="false">IF(E48&gt;45,"Overallocated",IF(E48&lt;30,"Underutilized","OK"))</f>
        <v>OK</v>
      </c>
    </row>
    <row r="49" customFormat="false" ht="15" hidden="false" customHeight="false" outlineLevel="0" collapsed="false">
      <c r="A49" s="2" t="n">
        <v>6</v>
      </c>
      <c r="B49" s="2" t="s">
        <v>41</v>
      </c>
      <c r="C49" s="2" t="s">
        <v>336</v>
      </c>
      <c r="D49" s="8" t="n">
        <v>46097</v>
      </c>
      <c r="E49" s="2" t="n">
        <v>36.83</v>
      </c>
      <c r="F49" s="2" t="str">
        <f aca="false">IF(E49&gt;45,"Overallocated",IF(E49&lt;30,"Underutilized","OK"))</f>
        <v>OK</v>
      </c>
    </row>
    <row r="50" customFormat="false" ht="15" hidden="false" customHeight="false" outlineLevel="0" collapsed="false">
      <c r="A50" s="2" t="n">
        <v>8</v>
      </c>
      <c r="B50" s="2" t="s">
        <v>99</v>
      </c>
      <c r="C50" s="2" t="s">
        <v>336</v>
      </c>
      <c r="D50" s="8" t="n">
        <v>46097</v>
      </c>
      <c r="E50" s="2" t="n">
        <v>41.12</v>
      </c>
      <c r="F50" s="2" t="str">
        <f aca="false">IF(E50&gt;45,"Overallocated",IF(E50&lt;30,"Underutilized","OK"))</f>
        <v>OK</v>
      </c>
    </row>
    <row r="51" customFormat="false" ht="15" hidden="false" customHeight="false" outlineLevel="0" collapsed="false">
      <c r="A51" s="2" t="n">
        <v>9</v>
      </c>
      <c r="B51" s="2" t="s">
        <v>229</v>
      </c>
      <c r="C51" s="2" t="s">
        <v>335</v>
      </c>
      <c r="D51" s="8" t="n">
        <v>46097</v>
      </c>
      <c r="E51" s="2" t="n">
        <v>49.84</v>
      </c>
      <c r="F51" s="2" t="str">
        <f aca="false">IF(E51&gt;45,"Overallocated",IF(E51&lt;30,"Underutilized","OK"))</f>
        <v>Overallocated</v>
      </c>
    </row>
    <row r="52" customFormat="false" ht="15" hidden="false" customHeight="false" outlineLevel="0" collapsed="false">
      <c r="A52" s="2" t="n">
        <v>10</v>
      </c>
      <c r="B52" s="2" t="s">
        <v>222</v>
      </c>
      <c r="C52" s="2" t="s">
        <v>337</v>
      </c>
      <c r="D52" s="8" t="n">
        <v>46097</v>
      </c>
      <c r="E52" s="2" t="n">
        <v>34.05</v>
      </c>
      <c r="F52" s="2" t="str">
        <f aca="false">IF(E52&gt;45,"Overallocated",IF(E52&lt;30,"Underutilized","OK"))</f>
        <v>OK</v>
      </c>
    </row>
    <row r="53" customFormat="false" ht="15" hidden="false" customHeight="false" outlineLevel="0" collapsed="false">
      <c r="A53" s="2" t="n">
        <v>11</v>
      </c>
      <c r="B53" s="2" t="s">
        <v>286</v>
      </c>
      <c r="C53" s="2" t="s">
        <v>337</v>
      </c>
      <c r="D53" s="8" t="n">
        <v>46097</v>
      </c>
      <c r="E53" s="2" t="n">
        <v>30.31</v>
      </c>
      <c r="F53" s="2" t="str">
        <f aca="false">IF(E53&gt;45,"Overallocated",IF(E53&lt;30,"Underutilized","OK"))</f>
        <v>OK</v>
      </c>
    </row>
    <row r="54" customFormat="false" ht="15" hidden="false" customHeight="false" outlineLevel="0" collapsed="false">
      <c r="A54" s="2" t="n">
        <v>12</v>
      </c>
      <c r="B54" s="2" t="s">
        <v>188</v>
      </c>
      <c r="C54" s="2" t="s">
        <v>337</v>
      </c>
      <c r="D54" s="8" t="n">
        <v>46097</v>
      </c>
      <c r="E54" s="2" t="n">
        <v>40.72</v>
      </c>
      <c r="F54" s="2" t="str">
        <f aca="false">IF(E54&gt;45,"Overallocated",IF(E54&lt;30,"Underutilized","OK"))</f>
        <v>OK</v>
      </c>
    </row>
    <row r="55" customFormat="false" ht="15" hidden="false" customHeight="false" outlineLevel="0" collapsed="false">
      <c r="A55" s="2" t="n">
        <v>13</v>
      </c>
      <c r="B55" s="2" t="s">
        <v>131</v>
      </c>
      <c r="C55" s="2" t="s">
        <v>338</v>
      </c>
      <c r="D55" s="8" t="n">
        <v>46097</v>
      </c>
      <c r="E55" s="2" t="n">
        <v>52.16</v>
      </c>
      <c r="F55" s="2" t="str">
        <f aca="false">IF(E55&gt;45,"Overallocated",IF(E55&lt;30,"Underutilized","OK"))</f>
        <v>Overallocated</v>
      </c>
    </row>
    <row r="56" customFormat="false" ht="15" hidden="false" customHeight="false" outlineLevel="0" collapsed="false">
      <c r="A56" s="2" t="n">
        <v>14</v>
      </c>
      <c r="B56" s="2" t="s">
        <v>249</v>
      </c>
      <c r="C56" s="2" t="s">
        <v>335</v>
      </c>
      <c r="D56" s="8" t="n">
        <v>46097</v>
      </c>
      <c r="E56" s="2" t="n">
        <v>38.82</v>
      </c>
      <c r="F56" s="2" t="str">
        <f aca="false">IF(E56&gt;45,"Overallocated",IF(E56&lt;30,"Underutilized","OK"))</f>
        <v>OK</v>
      </c>
    </row>
    <row r="57" customFormat="false" ht="15" hidden="false" customHeight="false" outlineLevel="0" collapsed="false">
      <c r="A57" s="2" t="n">
        <v>15</v>
      </c>
      <c r="B57" s="2" t="s">
        <v>153</v>
      </c>
      <c r="C57" s="2" t="s">
        <v>339</v>
      </c>
      <c r="D57" s="8" t="n">
        <v>46097</v>
      </c>
      <c r="E57" s="2" t="n">
        <v>49.51</v>
      </c>
      <c r="F57" s="2" t="str">
        <f aca="false">IF(E57&gt;45,"Overallocated",IF(E57&lt;30,"Underutilized","OK"))</f>
        <v>Overallocated</v>
      </c>
    </row>
    <row r="58" customFormat="false" ht="15" hidden="false" customHeight="false" outlineLevel="0" collapsed="false">
      <c r="A58" s="2" t="n">
        <v>16</v>
      </c>
      <c r="B58" s="2" t="s">
        <v>109</v>
      </c>
      <c r="C58" s="2" t="s">
        <v>339</v>
      </c>
      <c r="D58" s="8" t="n">
        <v>46097</v>
      </c>
      <c r="E58" s="2" t="n">
        <v>35.06</v>
      </c>
      <c r="F58" s="2" t="str">
        <f aca="false">IF(E58&gt;45,"Overallocated",IF(E58&lt;30,"Underutilized","OK"))</f>
        <v>OK</v>
      </c>
    </row>
    <row r="59" customFormat="false" ht="15" hidden="false" customHeight="false" outlineLevel="0" collapsed="false">
      <c r="A59" s="2" t="n">
        <v>17</v>
      </c>
      <c r="B59" s="2" t="s">
        <v>87</v>
      </c>
      <c r="C59" s="2" t="s">
        <v>337</v>
      </c>
      <c r="D59" s="8" t="n">
        <v>46097</v>
      </c>
      <c r="E59" s="2" t="n">
        <v>36.52</v>
      </c>
      <c r="F59" s="2" t="str">
        <f aca="false">IF(E59&gt;45,"Overallocated",IF(E59&lt;30,"Underutilized","OK"))</f>
        <v>OK</v>
      </c>
    </row>
    <row r="60" customFormat="false" ht="15" hidden="false" customHeight="false" outlineLevel="0" collapsed="false">
      <c r="A60" s="2" t="n">
        <v>19</v>
      </c>
      <c r="B60" s="2" t="s">
        <v>90</v>
      </c>
      <c r="C60" s="2" t="s">
        <v>338</v>
      </c>
      <c r="D60" s="8" t="n">
        <v>46097</v>
      </c>
      <c r="E60" s="2" t="n">
        <v>42.26</v>
      </c>
      <c r="F60" s="2" t="str">
        <f aca="false">IF(E60&gt;45,"Overallocated",IF(E60&lt;30,"Underutilized","OK"))</f>
        <v>OK</v>
      </c>
    </row>
    <row r="61" customFormat="false" ht="15" hidden="false" customHeight="false" outlineLevel="0" collapsed="false">
      <c r="A61" s="2" t="n">
        <v>20</v>
      </c>
      <c r="B61" s="2" t="s">
        <v>103</v>
      </c>
      <c r="C61" s="2" t="s">
        <v>335</v>
      </c>
      <c r="D61" s="8" t="n">
        <v>46097</v>
      </c>
      <c r="E61" s="2" t="n">
        <v>39.29</v>
      </c>
      <c r="F61" s="2" t="str">
        <f aca="false">IF(E61&gt;45,"Overallocated",IF(E61&lt;30,"Underutilized","OK"))</f>
        <v>OK</v>
      </c>
    </row>
    <row r="62" customFormat="false" ht="15" hidden="false" customHeight="false" outlineLevel="0" collapsed="false">
      <c r="A62" s="2" t="n">
        <v>21</v>
      </c>
      <c r="B62" s="2" t="s">
        <v>144</v>
      </c>
      <c r="C62" s="2" t="s">
        <v>335</v>
      </c>
      <c r="D62" s="8" t="n">
        <v>46097</v>
      </c>
      <c r="E62" s="2" t="n">
        <v>33.36</v>
      </c>
      <c r="F62" s="2" t="str">
        <f aca="false">IF(E62&gt;45,"Overallocated",IF(E62&lt;30,"Underutilized","OK"))</f>
        <v>OK</v>
      </c>
    </row>
    <row r="63" customFormat="false" ht="15" hidden="false" customHeight="false" outlineLevel="0" collapsed="false">
      <c r="A63" s="2" t="n">
        <v>22</v>
      </c>
      <c r="B63" s="2" t="s">
        <v>155</v>
      </c>
      <c r="C63" s="2" t="s">
        <v>336</v>
      </c>
      <c r="D63" s="8" t="n">
        <v>46097</v>
      </c>
      <c r="E63" s="2" t="n">
        <v>41.05</v>
      </c>
      <c r="F63" s="2" t="str">
        <f aca="false">IF(E63&gt;45,"Overallocated",IF(E63&lt;30,"Underutilized","OK"))</f>
        <v>OK</v>
      </c>
    </row>
    <row r="64" customFormat="false" ht="15" hidden="false" customHeight="false" outlineLevel="0" collapsed="false">
      <c r="A64" s="2" t="n">
        <v>23</v>
      </c>
      <c r="B64" s="2" t="s">
        <v>105</v>
      </c>
      <c r="C64" s="2" t="s">
        <v>336</v>
      </c>
      <c r="D64" s="8" t="n">
        <v>46097</v>
      </c>
      <c r="E64" s="2" t="n">
        <v>28.16</v>
      </c>
      <c r="F64" s="2" t="str">
        <f aca="false">IF(E64&gt;45,"Overallocated",IF(E64&lt;30,"Underutilized","OK"))</f>
        <v>Underutilized</v>
      </c>
    </row>
    <row r="65" customFormat="false" ht="15" hidden="false" customHeight="false" outlineLevel="0" collapsed="false">
      <c r="A65" s="2" t="n">
        <v>24</v>
      </c>
      <c r="B65" s="2" t="s">
        <v>100</v>
      </c>
      <c r="C65" s="2" t="s">
        <v>338</v>
      </c>
      <c r="D65" s="8" t="n">
        <v>46097</v>
      </c>
      <c r="E65" s="2" t="n">
        <v>42.06</v>
      </c>
      <c r="F65" s="2" t="str">
        <f aca="false">IF(E65&gt;45,"Overallocated",IF(E65&lt;30,"Underutilized","OK"))</f>
        <v>OK</v>
      </c>
    </row>
    <row r="66" customFormat="false" ht="15" hidden="false" customHeight="false" outlineLevel="0" collapsed="false">
      <c r="A66" s="2" t="n">
        <v>26</v>
      </c>
      <c r="B66" s="2" t="s">
        <v>162</v>
      </c>
      <c r="C66" s="2" t="s">
        <v>335</v>
      </c>
      <c r="D66" s="8" t="n">
        <v>46097</v>
      </c>
      <c r="E66" s="2" t="n">
        <v>42.57</v>
      </c>
      <c r="F66" s="2" t="str">
        <f aca="false">IF(E66&gt;45,"Overallocated",IF(E66&lt;30,"Underutilized","OK"))</f>
        <v>OK</v>
      </c>
    </row>
    <row r="67" customFormat="false" ht="15" hidden="false" customHeight="false" outlineLevel="0" collapsed="false">
      <c r="A67" s="2" t="n">
        <v>27</v>
      </c>
      <c r="B67" s="2" t="s">
        <v>111</v>
      </c>
      <c r="C67" s="2" t="s">
        <v>338</v>
      </c>
      <c r="D67" s="8" t="n">
        <v>46097</v>
      </c>
      <c r="E67" s="2" t="n">
        <v>44.32</v>
      </c>
      <c r="F67" s="2" t="str">
        <f aca="false">IF(E67&gt;45,"Overallocated",IF(E67&lt;30,"Underutilized","OK"))</f>
        <v>OK</v>
      </c>
    </row>
    <row r="68" customFormat="false" ht="15" hidden="false" customHeight="false" outlineLevel="0" collapsed="false">
      <c r="A68" s="2" t="n">
        <v>28</v>
      </c>
      <c r="B68" s="2" t="s">
        <v>160</v>
      </c>
      <c r="C68" s="2" t="s">
        <v>340</v>
      </c>
      <c r="D68" s="8" t="n">
        <v>46097</v>
      </c>
      <c r="E68" s="2" t="n">
        <v>33.54</v>
      </c>
      <c r="F68" s="2" t="str">
        <f aca="false">IF(E68&gt;45,"Overallocated",IF(E68&lt;30,"Underutilized","OK"))</f>
        <v>OK</v>
      </c>
    </row>
    <row r="69" customFormat="false" ht="15" hidden="false" customHeight="false" outlineLevel="0" collapsed="false">
      <c r="A69" s="2" t="n">
        <v>29</v>
      </c>
      <c r="B69" s="2" t="s">
        <v>194</v>
      </c>
      <c r="C69" s="2" t="s">
        <v>337</v>
      </c>
      <c r="D69" s="8" t="n">
        <v>46097</v>
      </c>
      <c r="E69" s="2" t="n">
        <v>48.39</v>
      </c>
      <c r="F69" s="2" t="str">
        <f aca="false">IF(E69&gt;45,"Overallocated",IF(E69&lt;30,"Underutilized","OK"))</f>
        <v>Overallocated</v>
      </c>
    </row>
    <row r="70" customFormat="false" ht="15" hidden="false" customHeight="false" outlineLevel="0" collapsed="false">
      <c r="A70" s="2" t="n">
        <v>31</v>
      </c>
      <c r="B70" s="2" t="s">
        <v>204</v>
      </c>
      <c r="C70" s="2" t="s">
        <v>335</v>
      </c>
      <c r="D70" s="8" t="n">
        <v>46097</v>
      </c>
      <c r="E70" s="2" t="n">
        <v>35.74</v>
      </c>
      <c r="F70" s="2" t="str">
        <f aca="false">IF(E70&gt;45,"Overallocated",IF(E70&lt;30,"Underutilized","OK"))</f>
        <v>OK</v>
      </c>
    </row>
    <row r="71" customFormat="false" ht="15" hidden="false" customHeight="false" outlineLevel="0" collapsed="false">
      <c r="A71" s="2" t="n">
        <v>32</v>
      </c>
      <c r="B71" s="2" t="s">
        <v>267</v>
      </c>
      <c r="C71" s="2" t="s">
        <v>335</v>
      </c>
      <c r="D71" s="8" t="n">
        <v>46097</v>
      </c>
      <c r="E71" s="2" t="n">
        <v>42.75</v>
      </c>
      <c r="F71" s="2" t="str">
        <f aca="false">IF(E71&gt;45,"Overallocated",IF(E71&lt;30,"Underutilized","OK"))</f>
        <v>OK</v>
      </c>
    </row>
    <row r="72" customFormat="false" ht="15" hidden="false" customHeight="false" outlineLevel="0" collapsed="false">
      <c r="A72" s="2" t="n">
        <v>33</v>
      </c>
      <c r="B72" s="2" t="s">
        <v>135</v>
      </c>
      <c r="C72" s="2" t="s">
        <v>337</v>
      </c>
      <c r="D72" s="8" t="n">
        <v>46097</v>
      </c>
      <c r="E72" s="2" t="n">
        <v>38.43</v>
      </c>
      <c r="F72" s="2" t="str">
        <f aca="false">IF(E72&gt;45,"Overallocated",IF(E72&lt;30,"Underutilized","OK"))</f>
        <v>OK</v>
      </c>
    </row>
    <row r="73" customFormat="false" ht="15" hidden="false" customHeight="false" outlineLevel="0" collapsed="false">
      <c r="A73" s="2" t="n">
        <v>34</v>
      </c>
      <c r="B73" s="2" t="s">
        <v>251</v>
      </c>
      <c r="C73" s="2" t="s">
        <v>336</v>
      </c>
      <c r="D73" s="8" t="n">
        <v>46097</v>
      </c>
      <c r="E73" s="2" t="n">
        <v>44.22</v>
      </c>
      <c r="F73" s="2" t="str">
        <f aca="false">IF(E73&gt;45,"Overallocated",IF(E73&lt;30,"Underutilized","OK"))</f>
        <v>OK</v>
      </c>
    </row>
    <row r="74" customFormat="false" ht="15" hidden="false" customHeight="false" outlineLevel="0" collapsed="false">
      <c r="A74" s="2" t="n">
        <v>35</v>
      </c>
      <c r="B74" s="2" t="s">
        <v>37</v>
      </c>
      <c r="C74" s="2" t="s">
        <v>337</v>
      </c>
      <c r="D74" s="8" t="n">
        <v>46097</v>
      </c>
      <c r="E74" s="2" t="n">
        <v>45.99</v>
      </c>
      <c r="F74" s="2" t="str">
        <f aca="false">IF(E74&gt;45,"Overallocated",IF(E74&lt;30,"Underutilized","OK"))</f>
        <v>Overallocated</v>
      </c>
    </row>
    <row r="75" customFormat="false" ht="15" hidden="false" customHeight="false" outlineLevel="0" collapsed="false">
      <c r="A75" s="2" t="n">
        <v>36</v>
      </c>
      <c r="B75" s="2" t="s">
        <v>146</v>
      </c>
      <c r="C75" s="2" t="s">
        <v>339</v>
      </c>
      <c r="D75" s="8" t="n">
        <v>46097</v>
      </c>
      <c r="E75" s="2" t="n">
        <v>37.04</v>
      </c>
      <c r="F75" s="2" t="str">
        <f aca="false">IF(E75&gt;45,"Overallocated",IF(E75&lt;30,"Underutilized","OK"))</f>
        <v>OK</v>
      </c>
    </row>
    <row r="76" customFormat="false" ht="15" hidden="false" customHeight="false" outlineLevel="0" collapsed="false">
      <c r="A76" s="2" t="n">
        <v>38</v>
      </c>
      <c r="B76" s="2" t="s">
        <v>121</v>
      </c>
      <c r="C76" s="2" t="s">
        <v>335</v>
      </c>
      <c r="D76" s="8" t="n">
        <v>46097</v>
      </c>
      <c r="E76" s="2" t="n">
        <v>28.35</v>
      </c>
      <c r="F76" s="2" t="str">
        <f aca="false">IF(E76&gt;45,"Overallocated",IF(E76&lt;30,"Underutilized","OK"))</f>
        <v>Underutilized</v>
      </c>
    </row>
    <row r="77" customFormat="false" ht="15" hidden="false" customHeight="false" outlineLevel="0" collapsed="false">
      <c r="A77" s="2" t="n">
        <v>39</v>
      </c>
      <c r="B77" s="2" t="s">
        <v>198</v>
      </c>
      <c r="C77" s="2" t="s">
        <v>336</v>
      </c>
      <c r="D77" s="8" t="n">
        <v>46097</v>
      </c>
      <c r="E77" s="2" t="n">
        <v>35.82</v>
      </c>
      <c r="F77" s="2" t="str">
        <f aca="false">IF(E77&gt;45,"Overallocated",IF(E77&lt;30,"Underutilized","OK"))</f>
        <v>OK</v>
      </c>
    </row>
    <row r="78" customFormat="false" ht="15" hidden="false" customHeight="false" outlineLevel="0" collapsed="false">
      <c r="A78" s="2" t="n">
        <v>40</v>
      </c>
      <c r="B78" s="2" t="s">
        <v>201</v>
      </c>
      <c r="C78" s="2" t="s">
        <v>339</v>
      </c>
      <c r="D78" s="8" t="n">
        <v>46097</v>
      </c>
      <c r="E78" s="2" t="n">
        <v>25.97</v>
      </c>
      <c r="F78" s="2" t="str">
        <f aca="false">IF(E78&gt;45,"Overallocated",IF(E78&lt;30,"Underutilized","OK"))</f>
        <v>Underutilized</v>
      </c>
    </row>
    <row r="79" customFormat="false" ht="15" hidden="false" customHeight="false" outlineLevel="0" collapsed="false">
      <c r="A79" s="2" t="n">
        <v>41</v>
      </c>
      <c r="B79" s="2" t="s">
        <v>92</v>
      </c>
      <c r="C79" s="2" t="s">
        <v>336</v>
      </c>
      <c r="D79" s="8" t="n">
        <v>46097</v>
      </c>
      <c r="E79" s="2" t="n">
        <v>41.02</v>
      </c>
      <c r="F79" s="2" t="str">
        <f aca="false">IF(E79&gt;45,"Overallocated",IF(E79&lt;30,"Underutilized","OK"))</f>
        <v>OK</v>
      </c>
    </row>
    <row r="80" customFormat="false" ht="15" hidden="false" customHeight="false" outlineLevel="0" collapsed="false">
      <c r="A80" s="2" t="n">
        <v>42</v>
      </c>
      <c r="B80" s="2" t="s">
        <v>165</v>
      </c>
      <c r="C80" s="2" t="s">
        <v>340</v>
      </c>
      <c r="D80" s="8" t="n">
        <v>46097</v>
      </c>
      <c r="E80" s="2" t="n">
        <v>46.92</v>
      </c>
      <c r="F80" s="2" t="str">
        <f aca="false">IF(E80&gt;45,"Overallocated",IF(E80&lt;30,"Underutilized","OK"))</f>
        <v>Overallocated</v>
      </c>
    </row>
    <row r="81" customFormat="false" ht="15" hidden="false" customHeight="false" outlineLevel="0" collapsed="false">
      <c r="A81" s="2" t="n">
        <v>44</v>
      </c>
      <c r="B81" s="2" t="s">
        <v>138</v>
      </c>
      <c r="C81" s="2" t="s">
        <v>335</v>
      </c>
      <c r="D81" s="8" t="n">
        <v>46097</v>
      </c>
      <c r="E81" s="2" t="n">
        <v>39.04</v>
      </c>
      <c r="F81" s="2" t="str">
        <f aca="false">IF(E81&gt;45,"Overallocated",IF(E81&lt;30,"Underutilized","OK"))</f>
        <v>OK</v>
      </c>
    </row>
    <row r="82" customFormat="false" ht="15" hidden="false" customHeight="false" outlineLevel="0" collapsed="false">
      <c r="A82" s="2" t="n">
        <v>45</v>
      </c>
      <c r="B82" s="2" t="s">
        <v>113</v>
      </c>
      <c r="C82" s="2" t="s">
        <v>337</v>
      </c>
      <c r="D82" s="8" t="n">
        <v>46097</v>
      </c>
      <c r="E82" s="2" t="n">
        <v>38.92</v>
      </c>
      <c r="F82" s="2" t="str">
        <f aca="false">IF(E82&gt;45,"Overallocated",IF(E82&lt;30,"Underutilized","OK"))</f>
        <v>OK</v>
      </c>
    </row>
    <row r="83" customFormat="false" ht="15" hidden="false" customHeight="false" outlineLevel="0" collapsed="false">
      <c r="A83" s="2" t="n">
        <v>46</v>
      </c>
      <c r="B83" s="2" t="s">
        <v>51</v>
      </c>
      <c r="C83" s="2" t="s">
        <v>336</v>
      </c>
      <c r="D83" s="8" t="n">
        <v>46097</v>
      </c>
      <c r="E83" s="2" t="n">
        <v>39.18</v>
      </c>
      <c r="F83" s="2" t="str">
        <f aca="false">IF(E83&gt;45,"Overallocated",IF(E83&lt;30,"Underutilized","OK"))</f>
        <v>OK</v>
      </c>
    </row>
    <row r="84" customFormat="false" ht="15" hidden="false" customHeight="false" outlineLevel="0" collapsed="false">
      <c r="A84" s="2" t="n">
        <v>48</v>
      </c>
      <c r="B84" s="2" t="s">
        <v>97</v>
      </c>
      <c r="C84" s="2" t="s">
        <v>336</v>
      </c>
      <c r="D84" s="8" t="n">
        <v>46097</v>
      </c>
      <c r="E84" s="2" t="n">
        <v>51.82</v>
      </c>
      <c r="F84" s="2" t="str">
        <f aca="false">IF(E84&gt;45,"Overallocated",IF(E84&lt;30,"Underutilized","OK"))</f>
        <v>Overallocated</v>
      </c>
    </row>
    <row r="85" customFormat="false" ht="15" hidden="false" customHeight="false" outlineLevel="0" collapsed="false">
      <c r="A85" s="2" t="n">
        <v>49</v>
      </c>
      <c r="B85" s="2" t="s">
        <v>148</v>
      </c>
      <c r="C85" s="2" t="s">
        <v>336</v>
      </c>
      <c r="D85" s="8" t="n">
        <v>46097</v>
      </c>
      <c r="E85" s="2" t="n">
        <v>44.22</v>
      </c>
      <c r="F85" s="2" t="str">
        <f aca="false">IF(E85&gt;45,"Overallocated",IF(E85&lt;30,"Underutilized","OK"))</f>
        <v>OK</v>
      </c>
    </row>
    <row r="86" customFormat="false" ht="15" hidden="false" customHeight="false" outlineLevel="0" collapsed="false">
      <c r="A86" s="2" t="n">
        <v>50</v>
      </c>
      <c r="B86" s="2" t="s">
        <v>107</v>
      </c>
      <c r="C86" s="2" t="s">
        <v>335</v>
      </c>
      <c r="D86" s="8" t="n">
        <v>46097</v>
      </c>
      <c r="E86" s="2" t="n">
        <v>40.39</v>
      </c>
      <c r="F86" s="2" t="str">
        <f aca="false">IF(E86&gt;45,"Overallocated",IF(E86&lt;30,"Underutilized","OK"))</f>
        <v>OK</v>
      </c>
    </row>
    <row r="87" customFormat="false" ht="15" hidden="false" customHeight="false" outlineLevel="0" collapsed="false">
      <c r="A87" s="2" t="n">
        <v>1</v>
      </c>
      <c r="B87" s="2" t="s">
        <v>95</v>
      </c>
      <c r="C87" s="2" t="s">
        <v>335</v>
      </c>
      <c r="D87" s="8" t="n">
        <v>46104</v>
      </c>
      <c r="E87" s="2" t="n">
        <v>39.37</v>
      </c>
      <c r="F87" s="2" t="str">
        <f aca="false">IF(E87&gt;45,"Overallocated",IF(E87&lt;30,"Underutilized","OK"))</f>
        <v>OK</v>
      </c>
    </row>
    <row r="88" customFormat="false" ht="15" hidden="false" customHeight="false" outlineLevel="0" collapsed="false">
      <c r="A88" s="2" t="n">
        <v>2</v>
      </c>
      <c r="B88" s="2" t="s">
        <v>47</v>
      </c>
      <c r="C88" s="2" t="s">
        <v>336</v>
      </c>
      <c r="D88" s="8" t="n">
        <v>46104</v>
      </c>
      <c r="E88" s="2" t="n">
        <v>43.13</v>
      </c>
      <c r="F88" s="2" t="str">
        <f aca="false">IF(E88&gt;45,"Overallocated",IF(E88&lt;30,"Underutilized","OK"))</f>
        <v>OK</v>
      </c>
    </row>
    <row r="89" customFormat="false" ht="15" hidden="false" customHeight="false" outlineLevel="0" collapsed="false">
      <c r="A89" s="2" t="n">
        <v>3</v>
      </c>
      <c r="B89" s="2" t="s">
        <v>44</v>
      </c>
      <c r="C89" s="2" t="s">
        <v>337</v>
      </c>
      <c r="D89" s="8" t="n">
        <v>46104</v>
      </c>
      <c r="E89" s="2" t="n">
        <v>51.16</v>
      </c>
      <c r="F89" s="2" t="str">
        <f aca="false">IF(E89&gt;45,"Overallocated",IF(E89&lt;30,"Underutilized","OK"))</f>
        <v>Overallocated</v>
      </c>
    </row>
    <row r="90" customFormat="false" ht="15" hidden="false" customHeight="false" outlineLevel="0" collapsed="false">
      <c r="A90" s="2" t="n">
        <v>4</v>
      </c>
      <c r="B90" s="2" t="s">
        <v>66</v>
      </c>
      <c r="C90" s="2" t="s">
        <v>336</v>
      </c>
      <c r="D90" s="8" t="n">
        <v>46104</v>
      </c>
      <c r="E90" s="2" t="n">
        <v>41.28</v>
      </c>
      <c r="F90" s="2" t="str">
        <f aca="false">IF(E90&gt;45,"Overallocated",IF(E90&lt;30,"Underutilized","OK"))</f>
        <v>OK</v>
      </c>
    </row>
    <row r="91" customFormat="false" ht="15" hidden="false" customHeight="false" outlineLevel="0" collapsed="false">
      <c r="A91" s="2" t="n">
        <v>6</v>
      </c>
      <c r="B91" s="2" t="s">
        <v>41</v>
      </c>
      <c r="C91" s="2" t="s">
        <v>336</v>
      </c>
      <c r="D91" s="8" t="n">
        <v>46104</v>
      </c>
      <c r="E91" s="2" t="n">
        <v>41.53</v>
      </c>
      <c r="F91" s="2" t="str">
        <f aca="false">IF(E91&gt;45,"Overallocated",IF(E91&lt;30,"Underutilized","OK"))</f>
        <v>OK</v>
      </c>
    </row>
    <row r="92" customFormat="false" ht="15" hidden="false" customHeight="false" outlineLevel="0" collapsed="false">
      <c r="A92" s="2" t="n">
        <v>7</v>
      </c>
      <c r="B92" s="2" t="s">
        <v>192</v>
      </c>
      <c r="C92" s="2" t="s">
        <v>336</v>
      </c>
      <c r="D92" s="8" t="n">
        <v>46104</v>
      </c>
      <c r="E92" s="2" t="n">
        <v>27.03</v>
      </c>
      <c r="F92" s="2" t="str">
        <f aca="false">IF(E92&gt;45,"Overallocated",IF(E92&lt;30,"Underutilized","OK"))</f>
        <v>Underutilized</v>
      </c>
    </row>
    <row r="93" customFormat="false" ht="15" hidden="false" customHeight="false" outlineLevel="0" collapsed="false">
      <c r="A93" s="2" t="n">
        <v>8</v>
      </c>
      <c r="B93" s="2" t="s">
        <v>99</v>
      </c>
      <c r="C93" s="2" t="s">
        <v>336</v>
      </c>
      <c r="D93" s="8" t="n">
        <v>46104</v>
      </c>
      <c r="E93" s="2" t="n">
        <v>46.59</v>
      </c>
      <c r="F93" s="2" t="str">
        <f aca="false">IF(E93&gt;45,"Overallocated",IF(E93&lt;30,"Underutilized","OK"))</f>
        <v>Overallocated</v>
      </c>
    </row>
    <row r="94" customFormat="false" ht="15" hidden="false" customHeight="false" outlineLevel="0" collapsed="false">
      <c r="A94" s="2" t="n">
        <v>9</v>
      </c>
      <c r="B94" s="2" t="s">
        <v>229</v>
      </c>
      <c r="C94" s="2" t="s">
        <v>335</v>
      </c>
      <c r="D94" s="8" t="n">
        <v>46104</v>
      </c>
      <c r="E94" s="2" t="n">
        <v>48.83</v>
      </c>
      <c r="F94" s="2" t="str">
        <f aca="false">IF(E94&gt;45,"Overallocated",IF(E94&lt;30,"Underutilized","OK"))</f>
        <v>Overallocated</v>
      </c>
    </row>
    <row r="95" customFormat="false" ht="15" hidden="false" customHeight="false" outlineLevel="0" collapsed="false">
      <c r="A95" s="2" t="n">
        <v>11</v>
      </c>
      <c r="B95" s="2" t="s">
        <v>286</v>
      </c>
      <c r="C95" s="2" t="s">
        <v>337</v>
      </c>
      <c r="D95" s="8" t="n">
        <v>46104</v>
      </c>
      <c r="E95" s="2" t="n">
        <v>40.79</v>
      </c>
      <c r="F95" s="2" t="str">
        <f aca="false">IF(E95&gt;45,"Overallocated",IF(E95&lt;30,"Underutilized","OK"))</f>
        <v>OK</v>
      </c>
    </row>
    <row r="96" customFormat="false" ht="15" hidden="false" customHeight="false" outlineLevel="0" collapsed="false">
      <c r="A96" s="2" t="n">
        <v>12</v>
      </c>
      <c r="B96" s="2" t="s">
        <v>188</v>
      </c>
      <c r="C96" s="2" t="s">
        <v>337</v>
      </c>
      <c r="D96" s="8" t="n">
        <v>46104</v>
      </c>
      <c r="E96" s="2" t="n">
        <v>32.67</v>
      </c>
      <c r="F96" s="2" t="str">
        <f aca="false">IF(E96&gt;45,"Overallocated",IF(E96&lt;30,"Underutilized","OK"))</f>
        <v>OK</v>
      </c>
    </row>
    <row r="97" customFormat="false" ht="15" hidden="false" customHeight="false" outlineLevel="0" collapsed="false">
      <c r="A97" s="2" t="n">
        <v>13</v>
      </c>
      <c r="B97" s="2" t="s">
        <v>131</v>
      </c>
      <c r="C97" s="2" t="s">
        <v>338</v>
      </c>
      <c r="D97" s="8" t="n">
        <v>46104</v>
      </c>
      <c r="E97" s="2" t="n">
        <v>45.8</v>
      </c>
      <c r="F97" s="2" t="str">
        <f aca="false">IF(E97&gt;45,"Overallocated",IF(E97&lt;30,"Underutilized","OK"))</f>
        <v>Overallocated</v>
      </c>
    </row>
    <row r="98" customFormat="false" ht="15" hidden="false" customHeight="false" outlineLevel="0" collapsed="false">
      <c r="A98" s="2" t="n">
        <v>14</v>
      </c>
      <c r="B98" s="2" t="s">
        <v>249</v>
      </c>
      <c r="C98" s="2" t="s">
        <v>335</v>
      </c>
      <c r="D98" s="8" t="n">
        <v>46104</v>
      </c>
      <c r="E98" s="2" t="n">
        <v>42.4</v>
      </c>
      <c r="F98" s="2" t="str">
        <f aca="false">IF(E98&gt;45,"Overallocated",IF(E98&lt;30,"Underutilized","OK"))</f>
        <v>OK</v>
      </c>
    </row>
    <row r="99" customFormat="false" ht="15" hidden="false" customHeight="false" outlineLevel="0" collapsed="false">
      <c r="A99" s="2" t="n">
        <v>15</v>
      </c>
      <c r="B99" s="2" t="s">
        <v>153</v>
      </c>
      <c r="C99" s="2" t="s">
        <v>339</v>
      </c>
      <c r="D99" s="8" t="n">
        <v>46104</v>
      </c>
      <c r="E99" s="2" t="n">
        <v>37.79</v>
      </c>
      <c r="F99" s="2" t="str">
        <f aca="false">IF(E99&gt;45,"Overallocated",IF(E99&lt;30,"Underutilized","OK"))</f>
        <v>OK</v>
      </c>
    </row>
    <row r="100" customFormat="false" ht="15" hidden="false" customHeight="false" outlineLevel="0" collapsed="false">
      <c r="A100" s="2" t="n">
        <v>16</v>
      </c>
      <c r="B100" s="2" t="s">
        <v>109</v>
      </c>
      <c r="C100" s="2" t="s">
        <v>339</v>
      </c>
      <c r="D100" s="8" t="n">
        <v>46104</v>
      </c>
      <c r="E100" s="2" t="n">
        <v>40.38</v>
      </c>
      <c r="F100" s="2" t="str">
        <f aca="false">IF(E100&gt;45,"Overallocated",IF(E100&lt;30,"Underutilized","OK"))</f>
        <v>OK</v>
      </c>
    </row>
    <row r="101" customFormat="false" ht="15" hidden="false" customHeight="false" outlineLevel="0" collapsed="false">
      <c r="A101" s="2" t="n">
        <v>19</v>
      </c>
      <c r="B101" s="2" t="s">
        <v>90</v>
      </c>
      <c r="C101" s="2" t="s">
        <v>338</v>
      </c>
      <c r="D101" s="8" t="n">
        <v>46104</v>
      </c>
      <c r="E101" s="2" t="n">
        <v>51.19</v>
      </c>
      <c r="F101" s="2" t="str">
        <f aca="false">IF(E101&gt;45,"Overallocated",IF(E101&lt;30,"Underutilized","OK"))</f>
        <v>Overallocated</v>
      </c>
    </row>
    <row r="102" customFormat="false" ht="15" hidden="false" customHeight="false" outlineLevel="0" collapsed="false">
      <c r="A102" s="2" t="n">
        <v>20</v>
      </c>
      <c r="B102" s="2" t="s">
        <v>103</v>
      </c>
      <c r="C102" s="2" t="s">
        <v>335</v>
      </c>
      <c r="D102" s="8" t="n">
        <v>46104</v>
      </c>
      <c r="E102" s="2" t="n">
        <v>29.19</v>
      </c>
      <c r="F102" s="2" t="str">
        <f aca="false">IF(E102&gt;45,"Overallocated",IF(E102&lt;30,"Underutilized","OK"))</f>
        <v>Underutilized</v>
      </c>
    </row>
    <row r="103" customFormat="false" ht="15" hidden="false" customHeight="false" outlineLevel="0" collapsed="false">
      <c r="A103" s="2" t="n">
        <v>21</v>
      </c>
      <c r="B103" s="2" t="s">
        <v>144</v>
      </c>
      <c r="C103" s="2" t="s">
        <v>335</v>
      </c>
      <c r="D103" s="8" t="n">
        <v>46104</v>
      </c>
      <c r="E103" s="2" t="n">
        <v>39.52</v>
      </c>
      <c r="F103" s="2" t="str">
        <f aca="false">IF(E103&gt;45,"Overallocated",IF(E103&lt;30,"Underutilized","OK"))</f>
        <v>OK</v>
      </c>
    </row>
    <row r="104" customFormat="false" ht="15" hidden="false" customHeight="false" outlineLevel="0" collapsed="false">
      <c r="A104" s="2" t="n">
        <v>22</v>
      </c>
      <c r="B104" s="2" t="s">
        <v>155</v>
      </c>
      <c r="C104" s="2" t="s">
        <v>336</v>
      </c>
      <c r="D104" s="8" t="n">
        <v>46104</v>
      </c>
      <c r="E104" s="2" t="n">
        <v>35.22</v>
      </c>
      <c r="F104" s="2" t="str">
        <f aca="false">IF(E104&gt;45,"Overallocated",IF(E104&lt;30,"Underutilized","OK"))</f>
        <v>OK</v>
      </c>
    </row>
    <row r="105" customFormat="false" ht="15" hidden="false" customHeight="false" outlineLevel="0" collapsed="false">
      <c r="A105" s="2" t="n">
        <v>23</v>
      </c>
      <c r="B105" s="2" t="s">
        <v>105</v>
      </c>
      <c r="C105" s="2" t="s">
        <v>336</v>
      </c>
      <c r="D105" s="8" t="n">
        <v>46104</v>
      </c>
      <c r="E105" s="2" t="n">
        <v>39.36</v>
      </c>
      <c r="F105" s="2" t="str">
        <f aca="false">IF(E105&gt;45,"Overallocated",IF(E105&lt;30,"Underutilized","OK"))</f>
        <v>OK</v>
      </c>
    </row>
    <row r="106" customFormat="false" ht="15" hidden="false" customHeight="false" outlineLevel="0" collapsed="false">
      <c r="A106" s="2" t="n">
        <v>24</v>
      </c>
      <c r="B106" s="2" t="s">
        <v>100</v>
      </c>
      <c r="C106" s="2" t="s">
        <v>338</v>
      </c>
      <c r="D106" s="8" t="n">
        <v>46104</v>
      </c>
      <c r="E106" s="2" t="n">
        <v>48.35</v>
      </c>
      <c r="F106" s="2" t="str">
        <f aca="false">IF(E106&gt;45,"Overallocated",IF(E106&lt;30,"Underutilized","OK"))</f>
        <v>Overallocated</v>
      </c>
    </row>
    <row r="107" customFormat="false" ht="15" hidden="false" customHeight="false" outlineLevel="0" collapsed="false">
      <c r="A107" s="2" t="n">
        <v>26</v>
      </c>
      <c r="B107" s="2" t="s">
        <v>162</v>
      </c>
      <c r="C107" s="2" t="s">
        <v>335</v>
      </c>
      <c r="D107" s="8" t="n">
        <v>46104</v>
      </c>
      <c r="E107" s="2" t="n">
        <v>40.05</v>
      </c>
      <c r="F107" s="2" t="str">
        <f aca="false">IF(E107&gt;45,"Overallocated",IF(E107&lt;30,"Underutilized","OK"))</f>
        <v>OK</v>
      </c>
    </row>
    <row r="108" customFormat="false" ht="15" hidden="false" customHeight="false" outlineLevel="0" collapsed="false">
      <c r="A108" s="2" t="n">
        <v>27</v>
      </c>
      <c r="B108" s="2" t="s">
        <v>111</v>
      </c>
      <c r="C108" s="2" t="s">
        <v>338</v>
      </c>
      <c r="D108" s="8" t="n">
        <v>46104</v>
      </c>
      <c r="E108" s="2" t="n">
        <v>41.11</v>
      </c>
      <c r="F108" s="2" t="str">
        <f aca="false">IF(E108&gt;45,"Overallocated",IF(E108&lt;30,"Underutilized","OK"))</f>
        <v>OK</v>
      </c>
    </row>
    <row r="109" customFormat="false" ht="15" hidden="false" customHeight="false" outlineLevel="0" collapsed="false">
      <c r="A109" s="2" t="n">
        <v>28</v>
      </c>
      <c r="B109" s="2" t="s">
        <v>160</v>
      </c>
      <c r="C109" s="2" t="s">
        <v>340</v>
      </c>
      <c r="D109" s="8" t="n">
        <v>46104</v>
      </c>
      <c r="E109" s="2" t="n">
        <v>52.52</v>
      </c>
      <c r="F109" s="2" t="str">
        <f aca="false">IF(E109&gt;45,"Overallocated",IF(E109&lt;30,"Underutilized","OK"))</f>
        <v>Overallocated</v>
      </c>
    </row>
    <row r="110" customFormat="false" ht="15" hidden="false" customHeight="false" outlineLevel="0" collapsed="false">
      <c r="A110" s="2" t="n">
        <v>29</v>
      </c>
      <c r="B110" s="2" t="s">
        <v>194</v>
      </c>
      <c r="C110" s="2" t="s">
        <v>337</v>
      </c>
      <c r="D110" s="8" t="n">
        <v>46104</v>
      </c>
      <c r="E110" s="2" t="n">
        <v>40.12</v>
      </c>
      <c r="F110" s="2" t="str">
        <f aca="false">IF(E110&gt;45,"Overallocated",IF(E110&lt;30,"Underutilized","OK"))</f>
        <v>OK</v>
      </c>
    </row>
    <row r="111" customFormat="false" ht="15" hidden="false" customHeight="false" outlineLevel="0" collapsed="false">
      <c r="A111" s="2" t="n">
        <v>30</v>
      </c>
      <c r="B111" s="2" t="s">
        <v>116</v>
      </c>
      <c r="C111" s="2" t="s">
        <v>338</v>
      </c>
      <c r="D111" s="8" t="n">
        <v>46104</v>
      </c>
      <c r="E111" s="2" t="n">
        <v>48.5</v>
      </c>
      <c r="F111" s="2" t="str">
        <f aca="false">IF(E111&gt;45,"Overallocated",IF(E111&lt;30,"Underutilized","OK"))</f>
        <v>Overallocated</v>
      </c>
    </row>
    <row r="112" customFormat="false" ht="15" hidden="false" customHeight="false" outlineLevel="0" collapsed="false">
      <c r="A112" s="2" t="n">
        <v>32</v>
      </c>
      <c r="B112" s="2" t="s">
        <v>267</v>
      </c>
      <c r="C112" s="2" t="s">
        <v>335</v>
      </c>
      <c r="D112" s="8" t="n">
        <v>46104</v>
      </c>
      <c r="E112" s="2" t="n">
        <v>29.89</v>
      </c>
      <c r="F112" s="2" t="str">
        <f aca="false">IF(E112&gt;45,"Overallocated",IF(E112&lt;30,"Underutilized","OK"))</f>
        <v>Underutilized</v>
      </c>
    </row>
    <row r="113" customFormat="false" ht="15" hidden="false" customHeight="false" outlineLevel="0" collapsed="false">
      <c r="A113" s="2" t="n">
        <v>34</v>
      </c>
      <c r="B113" s="2" t="s">
        <v>251</v>
      </c>
      <c r="C113" s="2" t="s">
        <v>336</v>
      </c>
      <c r="D113" s="8" t="n">
        <v>46104</v>
      </c>
      <c r="E113" s="2" t="n">
        <v>48.22</v>
      </c>
      <c r="F113" s="2" t="str">
        <f aca="false">IF(E113&gt;45,"Overallocated",IF(E113&lt;30,"Underutilized","OK"))</f>
        <v>Overallocated</v>
      </c>
    </row>
    <row r="114" customFormat="false" ht="15" hidden="false" customHeight="false" outlineLevel="0" collapsed="false">
      <c r="A114" s="2" t="n">
        <v>35</v>
      </c>
      <c r="B114" s="2" t="s">
        <v>37</v>
      </c>
      <c r="C114" s="2" t="s">
        <v>337</v>
      </c>
      <c r="D114" s="8" t="n">
        <v>46104</v>
      </c>
      <c r="E114" s="2" t="n">
        <v>40.57</v>
      </c>
      <c r="F114" s="2" t="str">
        <f aca="false">IF(E114&gt;45,"Overallocated",IF(E114&lt;30,"Underutilized","OK"))</f>
        <v>OK</v>
      </c>
    </row>
    <row r="115" customFormat="false" ht="15" hidden="false" customHeight="false" outlineLevel="0" collapsed="false">
      <c r="A115" s="2" t="n">
        <v>36</v>
      </c>
      <c r="B115" s="2" t="s">
        <v>146</v>
      </c>
      <c r="C115" s="2" t="s">
        <v>339</v>
      </c>
      <c r="D115" s="8" t="n">
        <v>46104</v>
      </c>
      <c r="E115" s="2" t="n">
        <v>30.25</v>
      </c>
      <c r="F115" s="2" t="str">
        <f aca="false">IF(E115&gt;45,"Overallocated",IF(E115&lt;30,"Underutilized","OK"))</f>
        <v>OK</v>
      </c>
    </row>
    <row r="116" customFormat="false" ht="15" hidden="false" customHeight="false" outlineLevel="0" collapsed="false">
      <c r="A116" s="2" t="n">
        <v>37</v>
      </c>
      <c r="B116" s="2" t="s">
        <v>175</v>
      </c>
      <c r="C116" s="2" t="s">
        <v>335</v>
      </c>
      <c r="D116" s="8" t="n">
        <v>46104</v>
      </c>
      <c r="E116" s="2" t="n">
        <v>37.73</v>
      </c>
      <c r="F116" s="2" t="str">
        <f aca="false">IF(E116&gt;45,"Overallocated",IF(E116&lt;30,"Underutilized","OK"))</f>
        <v>OK</v>
      </c>
    </row>
    <row r="117" customFormat="false" ht="15" hidden="false" customHeight="false" outlineLevel="0" collapsed="false">
      <c r="A117" s="2" t="n">
        <v>38</v>
      </c>
      <c r="B117" s="2" t="s">
        <v>121</v>
      </c>
      <c r="C117" s="2" t="s">
        <v>335</v>
      </c>
      <c r="D117" s="8" t="n">
        <v>46104</v>
      </c>
      <c r="E117" s="2" t="n">
        <v>33.5</v>
      </c>
      <c r="F117" s="2" t="str">
        <f aca="false">IF(E117&gt;45,"Overallocated",IF(E117&lt;30,"Underutilized","OK"))</f>
        <v>OK</v>
      </c>
    </row>
    <row r="118" customFormat="false" ht="15" hidden="false" customHeight="false" outlineLevel="0" collapsed="false">
      <c r="A118" s="2" t="n">
        <v>39</v>
      </c>
      <c r="B118" s="2" t="s">
        <v>198</v>
      </c>
      <c r="C118" s="2" t="s">
        <v>336</v>
      </c>
      <c r="D118" s="8" t="n">
        <v>46104</v>
      </c>
      <c r="E118" s="2" t="n">
        <v>42.28</v>
      </c>
      <c r="F118" s="2" t="str">
        <f aca="false">IF(E118&gt;45,"Overallocated",IF(E118&lt;30,"Underutilized","OK"))</f>
        <v>OK</v>
      </c>
    </row>
    <row r="119" customFormat="false" ht="15" hidden="false" customHeight="false" outlineLevel="0" collapsed="false">
      <c r="A119" s="2" t="n">
        <v>40</v>
      </c>
      <c r="B119" s="2" t="s">
        <v>201</v>
      </c>
      <c r="C119" s="2" t="s">
        <v>339</v>
      </c>
      <c r="D119" s="8" t="n">
        <v>46104</v>
      </c>
      <c r="E119" s="2" t="n">
        <v>28.98</v>
      </c>
      <c r="F119" s="2" t="str">
        <f aca="false">IF(E119&gt;45,"Overallocated",IF(E119&lt;30,"Underutilized","OK"))</f>
        <v>Underutilized</v>
      </c>
    </row>
    <row r="120" customFormat="false" ht="15" hidden="false" customHeight="false" outlineLevel="0" collapsed="false">
      <c r="A120" s="2" t="n">
        <v>41</v>
      </c>
      <c r="B120" s="2" t="s">
        <v>92</v>
      </c>
      <c r="C120" s="2" t="s">
        <v>336</v>
      </c>
      <c r="D120" s="8" t="n">
        <v>46104</v>
      </c>
      <c r="E120" s="2" t="n">
        <v>25.38</v>
      </c>
      <c r="F120" s="2" t="str">
        <f aca="false">IF(E120&gt;45,"Overallocated",IF(E120&lt;30,"Underutilized","OK"))</f>
        <v>Underutilized</v>
      </c>
    </row>
    <row r="121" customFormat="false" ht="15" hidden="false" customHeight="false" outlineLevel="0" collapsed="false">
      <c r="A121" s="2" t="n">
        <v>43</v>
      </c>
      <c r="B121" s="2" t="s">
        <v>118</v>
      </c>
      <c r="C121" s="2" t="s">
        <v>337</v>
      </c>
      <c r="D121" s="8" t="n">
        <v>46104</v>
      </c>
      <c r="E121" s="2" t="n">
        <v>40.56</v>
      </c>
      <c r="F121" s="2" t="str">
        <f aca="false">IF(E121&gt;45,"Overallocated",IF(E121&lt;30,"Underutilized","OK"))</f>
        <v>OK</v>
      </c>
    </row>
    <row r="122" customFormat="false" ht="15" hidden="false" customHeight="false" outlineLevel="0" collapsed="false">
      <c r="A122" s="2" t="n">
        <v>44</v>
      </c>
      <c r="B122" s="2" t="s">
        <v>138</v>
      </c>
      <c r="C122" s="2" t="s">
        <v>335</v>
      </c>
      <c r="D122" s="8" t="n">
        <v>46104</v>
      </c>
      <c r="E122" s="2" t="n">
        <v>35.49</v>
      </c>
      <c r="F122" s="2" t="str">
        <f aca="false">IF(E122&gt;45,"Overallocated",IF(E122&lt;30,"Underutilized","OK"))</f>
        <v>OK</v>
      </c>
    </row>
    <row r="123" customFormat="false" ht="15" hidden="false" customHeight="false" outlineLevel="0" collapsed="false">
      <c r="A123" s="2" t="n">
        <v>45</v>
      </c>
      <c r="B123" s="2" t="s">
        <v>113</v>
      </c>
      <c r="C123" s="2" t="s">
        <v>337</v>
      </c>
      <c r="D123" s="8" t="n">
        <v>46104</v>
      </c>
      <c r="E123" s="2" t="n">
        <v>33.28</v>
      </c>
      <c r="F123" s="2" t="str">
        <f aca="false">IF(E123&gt;45,"Overallocated",IF(E123&lt;30,"Underutilized","OK"))</f>
        <v>OK</v>
      </c>
    </row>
    <row r="124" customFormat="false" ht="15" hidden="false" customHeight="false" outlineLevel="0" collapsed="false">
      <c r="A124" s="2" t="n">
        <v>46</v>
      </c>
      <c r="B124" s="2" t="s">
        <v>51</v>
      </c>
      <c r="C124" s="2" t="s">
        <v>336</v>
      </c>
      <c r="D124" s="8" t="n">
        <v>46104</v>
      </c>
      <c r="E124" s="2" t="n">
        <v>40.52</v>
      </c>
      <c r="F124" s="2" t="str">
        <f aca="false">IF(E124&gt;45,"Overallocated",IF(E124&lt;30,"Underutilized","OK"))</f>
        <v>OK</v>
      </c>
    </row>
    <row r="125" customFormat="false" ht="15" hidden="false" customHeight="false" outlineLevel="0" collapsed="false">
      <c r="A125" s="2" t="n">
        <v>47</v>
      </c>
      <c r="B125" s="2" t="s">
        <v>123</v>
      </c>
      <c r="C125" s="2" t="s">
        <v>335</v>
      </c>
      <c r="D125" s="8" t="n">
        <v>46104</v>
      </c>
      <c r="E125" s="2" t="n">
        <v>37.49</v>
      </c>
      <c r="F125" s="2" t="str">
        <f aca="false">IF(E125&gt;45,"Overallocated",IF(E125&lt;30,"Underutilized","OK"))</f>
        <v>OK</v>
      </c>
    </row>
    <row r="126" customFormat="false" ht="15" hidden="false" customHeight="false" outlineLevel="0" collapsed="false">
      <c r="A126" s="2" t="n">
        <v>50</v>
      </c>
      <c r="B126" s="2" t="s">
        <v>107</v>
      </c>
      <c r="C126" s="2" t="s">
        <v>335</v>
      </c>
      <c r="D126" s="8" t="n">
        <v>46104</v>
      </c>
      <c r="E126" s="2" t="n">
        <v>35.73</v>
      </c>
      <c r="F126" s="2" t="str">
        <f aca="false">IF(E126&gt;45,"Overallocated",IF(E126&lt;30,"Underutilized","OK"))</f>
        <v>OK</v>
      </c>
    </row>
    <row r="127" customFormat="false" ht="15" hidden="false" customHeight="false" outlineLevel="0" collapsed="false">
      <c r="A127" s="2" t="n">
        <v>1</v>
      </c>
      <c r="B127" s="2" t="s">
        <v>95</v>
      </c>
      <c r="C127" s="2" t="s">
        <v>335</v>
      </c>
      <c r="D127" s="8" t="n">
        <v>46111</v>
      </c>
      <c r="E127" s="2" t="n">
        <v>40.28</v>
      </c>
      <c r="F127" s="2" t="str">
        <f aca="false">IF(E127&gt;45,"Overallocated",IF(E127&lt;30,"Underutilized","OK"))</f>
        <v>OK</v>
      </c>
    </row>
    <row r="128" customFormat="false" ht="15" hidden="false" customHeight="false" outlineLevel="0" collapsed="false">
      <c r="A128" s="2" t="n">
        <v>2</v>
      </c>
      <c r="B128" s="2" t="s">
        <v>47</v>
      </c>
      <c r="C128" s="2" t="s">
        <v>336</v>
      </c>
      <c r="D128" s="8" t="n">
        <v>46111</v>
      </c>
      <c r="E128" s="2" t="n">
        <v>41.8</v>
      </c>
      <c r="F128" s="2" t="str">
        <f aca="false">IF(E128&gt;45,"Overallocated",IF(E128&lt;30,"Underutilized","OK"))</f>
        <v>OK</v>
      </c>
    </row>
    <row r="129" customFormat="false" ht="15" hidden="false" customHeight="false" outlineLevel="0" collapsed="false">
      <c r="A129" s="2" t="n">
        <v>3</v>
      </c>
      <c r="B129" s="2" t="s">
        <v>44</v>
      </c>
      <c r="C129" s="2" t="s">
        <v>337</v>
      </c>
      <c r="D129" s="8" t="n">
        <v>46111</v>
      </c>
      <c r="E129" s="2" t="n">
        <v>58.53</v>
      </c>
      <c r="F129" s="2" t="str">
        <f aca="false">IF(E129&gt;45,"Overallocated",IF(E129&lt;30,"Underutilized","OK"))</f>
        <v>Overallocated</v>
      </c>
    </row>
    <row r="130" customFormat="false" ht="15" hidden="false" customHeight="false" outlineLevel="0" collapsed="false">
      <c r="A130" s="2" t="n">
        <v>4</v>
      </c>
      <c r="B130" s="2" t="s">
        <v>66</v>
      </c>
      <c r="C130" s="2" t="s">
        <v>336</v>
      </c>
      <c r="D130" s="8" t="n">
        <v>46111</v>
      </c>
      <c r="E130" s="2" t="n">
        <v>39.48</v>
      </c>
      <c r="F130" s="2" t="str">
        <f aca="false">IF(E130&gt;45,"Overallocated",IF(E130&lt;30,"Underutilized","OK"))</f>
        <v>OK</v>
      </c>
    </row>
    <row r="131" customFormat="false" ht="15" hidden="false" customHeight="false" outlineLevel="0" collapsed="false">
      <c r="A131" s="2" t="n">
        <v>5</v>
      </c>
      <c r="B131" s="2" t="s">
        <v>57</v>
      </c>
      <c r="C131" s="2" t="s">
        <v>337</v>
      </c>
      <c r="D131" s="8" t="n">
        <v>46111</v>
      </c>
      <c r="E131" s="2" t="n">
        <v>42.08</v>
      </c>
      <c r="F131" s="2" t="str">
        <f aca="false">IF(E131&gt;45,"Overallocated",IF(E131&lt;30,"Underutilized","OK"))</f>
        <v>OK</v>
      </c>
    </row>
    <row r="132" customFormat="false" ht="15" hidden="false" customHeight="false" outlineLevel="0" collapsed="false">
      <c r="A132" s="2" t="n">
        <v>6</v>
      </c>
      <c r="B132" s="2" t="s">
        <v>41</v>
      </c>
      <c r="C132" s="2" t="s">
        <v>336</v>
      </c>
      <c r="D132" s="8" t="n">
        <v>46111</v>
      </c>
      <c r="E132" s="2" t="n">
        <v>40.47</v>
      </c>
      <c r="F132" s="2" t="str">
        <f aca="false">IF(E132&gt;45,"Overallocated",IF(E132&lt;30,"Underutilized","OK"))</f>
        <v>OK</v>
      </c>
    </row>
    <row r="133" customFormat="false" ht="15" hidden="false" customHeight="false" outlineLevel="0" collapsed="false">
      <c r="A133" s="2" t="n">
        <v>7</v>
      </c>
      <c r="B133" s="2" t="s">
        <v>192</v>
      </c>
      <c r="C133" s="2" t="s">
        <v>336</v>
      </c>
      <c r="D133" s="8" t="n">
        <v>46111</v>
      </c>
      <c r="E133" s="2" t="n">
        <v>25.81</v>
      </c>
      <c r="F133" s="2" t="str">
        <f aca="false">IF(E133&gt;45,"Overallocated",IF(E133&lt;30,"Underutilized","OK"))</f>
        <v>Underutilized</v>
      </c>
    </row>
    <row r="134" customFormat="false" ht="15" hidden="false" customHeight="false" outlineLevel="0" collapsed="false">
      <c r="A134" s="2" t="n">
        <v>8</v>
      </c>
      <c r="B134" s="2" t="s">
        <v>99</v>
      </c>
      <c r="C134" s="2" t="s">
        <v>336</v>
      </c>
      <c r="D134" s="8" t="n">
        <v>46111</v>
      </c>
      <c r="E134" s="2" t="n">
        <v>50.76</v>
      </c>
      <c r="F134" s="2" t="str">
        <f aca="false">IF(E134&gt;45,"Overallocated",IF(E134&lt;30,"Underutilized","OK"))</f>
        <v>Overallocated</v>
      </c>
    </row>
    <row r="135" customFormat="false" ht="15" hidden="false" customHeight="false" outlineLevel="0" collapsed="false">
      <c r="A135" s="2" t="n">
        <v>9</v>
      </c>
      <c r="B135" s="2" t="s">
        <v>229</v>
      </c>
      <c r="C135" s="2" t="s">
        <v>335</v>
      </c>
      <c r="D135" s="8" t="n">
        <v>46111</v>
      </c>
      <c r="E135" s="2" t="n">
        <v>48.42</v>
      </c>
      <c r="F135" s="2" t="str">
        <f aca="false">IF(E135&gt;45,"Overallocated",IF(E135&lt;30,"Underutilized","OK"))</f>
        <v>Overallocated</v>
      </c>
    </row>
    <row r="136" customFormat="false" ht="15" hidden="false" customHeight="false" outlineLevel="0" collapsed="false">
      <c r="A136" s="2" t="n">
        <v>10</v>
      </c>
      <c r="B136" s="2" t="s">
        <v>222</v>
      </c>
      <c r="C136" s="2" t="s">
        <v>337</v>
      </c>
      <c r="D136" s="8" t="n">
        <v>46111</v>
      </c>
      <c r="E136" s="2" t="n">
        <v>40.98</v>
      </c>
      <c r="F136" s="2" t="str">
        <f aca="false">IF(E136&gt;45,"Overallocated",IF(E136&lt;30,"Underutilized","OK"))</f>
        <v>OK</v>
      </c>
    </row>
    <row r="137" customFormat="false" ht="15" hidden="false" customHeight="false" outlineLevel="0" collapsed="false">
      <c r="A137" s="2" t="n">
        <v>11</v>
      </c>
      <c r="B137" s="2" t="s">
        <v>286</v>
      </c>
      <c r="C137" s="2" t="s">
        <v>337</v>
      </c>
      <c r="D137" s="8" t="n">
        <v>46111</v>
      </c>
      <c r="E137" s="2" t="n">
        <v>38.27</v>
      </c>
      <c r="F137" s="2" t="str">
        <f aca="false">IF(E137&gt;45,"Overallocated",IF(E137&lt;30,"Underutilized","OK"))</f>
        <v>OK</v>
      </c>
    </row>
    <row r="138" customFormat="false" ht="15" hidden="false" customHeight="false" outlineLevel="0" collapsed="false">
      <c r="A138" s="2" t="n">
        <v>12</v>
      </c>
      <c r="B138" s="2" t="s">
        <v>188</v>
      </c>
      <c r="C138" s="2" t="s">
        <v>337</v>
      </c>
      <c r="D138" s="8" t="n">
        <v>46111</v>
      </c>
      <c r="E138" s="2" t="n">
        <v>42.25</v>
      </c>
      <c r="F138" s="2" t="str">
        <f aca="false">IF(E138&gt;45,"Overallocated",IF(E138&lt;30,"Underutilized","OK"))</f>
        <v>OK</v>
      </c>
    </row>
    <row r="139" customFormat="false" ht="15" hidden="false" customHeight="false" outlineLevel="0" collapsed="false">
      <c r="A139" s="2" t="n">
        <v>13</v>
      </c>
      <c r="B139" s="2" t="s">
        <v>131</v>
      </c>
      <c r="C139" s="2" t="s">
        <v>338</v>
      </c>
      <c r="D139" s="8" t="n">
        <v>46111</v>
      </c>
      <c r="E139" s="2" t="n">
        <v>35</v>
      </c>
      <c r="F139" s="2" t="str">
        <f aca="false">IF(E139&gt;45,"Overallocated",IF(E139&lt;30,"Underutilized","OK"))</f>
        <v>OK</v>
      </c>
    </row>
    <row r="140" customFormat="false" ht="15" hidden="false" customHeight="false" outlineLevel="0" collapsed="false">
      <c r="A140" s="2" t="n">
        <v>14</v>
      </c>
      <c r="B140" s="2" t="s">
        <v>249</v>
      </c>
      <c r="C140" s="2" t="s">
        <v>335</v>
      </c>
      <c r="D140" s="8" t="n">
        <v>46111</v>
      </c>
      <c r="E140" s="2" t="n">
        <v>35.27</v>
      </c>
      <c r="F140" s="2" t="str">
        <f aca="false">IF(E140&gt;45,"Overallocated",IF(E140&lt;30,"Underutilized","OK"))</f>
        <v>OK</v>
      </c>
    </row>
    <row r="141" customFormat="false" ht="15" hidden="false" customHeight="false" outlineLevel="0" collapsed="false">
      <c r="A141" s="2" t="n">
        <v>15</v>
      </c>
      <c r="B141" s="2" t="s">
        <v>153</v>
      </c>
      <c r="C141" s="2" t="s">
        <v>339</v>
      </c>
      <c r="D141" s="8" t="n">
        <v>46111</v>
      </c>
      <c r="E141" s="2" t="n">
        <v>37.11</v>
      </c>
      <c r="F141" s="2" t="str">
        <f aca="false">IF(E141&gt;45,"Overallocated",IF(E141&lt;30,"Underutilized","OK"))</f>
        <v>OK</v>
      </c>
    </row>
    <row r="142" customFormat="false" ht="15" hidden="false" customHeight="false" outlineLevel="0" collapsed="false">
      <c r="A142" s="2" t="n">
        <v>17</v>
      </c>
      <c r="B142" s="2" t="s">
        <v>87</v>
      </c>
      <c r="C142" s="2" t="s">
        <v>337</v>
      </c>
      <c r="D142" s="8" t="n">
        <v>46111</v>
      </c>
      <c r="E142" s="2" t="n">
        <v>30.43</v>
      </c>
      <c r="F142" s="2" t="str">
        <f aca="false">IF(E142&gt;45,"Overallocated",IF(E142&lt;30,"Underutilized","OK"))</f>
        <v>OK</v>
      </c>
    </row>
    <row r="143" customFormat="false" ht="15" hidden="false" customHeight="false" outlineLevel="0" collapsed="false">
      <c r="A143" s="2" t="n">
        <v>18</v>
      </c>
      <c r="B143" s="2" t="s">
        <v>151</v>
      </c>
      <c r="C143" s="2" t="s">
        <v>336</v>
      </c>
      <c r="D143" s="8" t="n">
        <v>46111</v>
      </c>
      <c r="E143" s="2" t="n">
        <v>38.55</v>
      </c>
      <c r="F143" s="2" t="str">
        <f aca="false">IF(E143&gt;45,"Overallocated",IF(E143&lt;30,"Underutilized","OK"))</f>
        <v>OK</v>
      </c>
    </row>
    <row r="144" customFormat="false" ht="15" hidden="false" customHeight="false" outlineLevel="0" collapsed="false">
      <c r="A144" s="2" t="n">
        <v>19</v>
      </c>
      <c r="B144" s="2" t="s">
        <v>90</v>
      </c>
      <c r="C144" s="2" t="s">
        <v>338</v>
      </c>
      <c r="D144" s="8" t="n">
        <v>46111</v>
      </c>
      <c r="E144" s="2" t="n">
        <v>50.86</v>
      </c>
      <c r="F144" s="2" t="str">
        <f aca="false">IF(E144&gt;45,"Overallocated",IF(E144&lt;30,"Underutilized","OK"))</f>
        <v>Overallocated</v>
      </c>
    </row>
    <row r="145" customFormat="false" ht="15" hidden="false" customHeight="false" outlineLevel="0" collapsed="false">
      <c r="A145" s="2" t="n">
        <v>20</v>
      </c>
      <c r="B145" s="2" t="s">
        <v>103</v>
      </c>
      <c r="C145" s="2" t="s">
        <v>335</v>
      </c>
      <c r="D145" s="8" t="n">
        <v>46111</v>
      </c>
      <c r="E145" s="2" t="n">
        <v>39.75</v>
      </c>
      <c r="F145" s="2" t="str">
        <f aca="false">IF(E145&gt;45,"Overallocated",IF(E145&lt;30,"Underutilized","OK"))</f>
        <v>OK</v>
      </c>
    </row>
    <row r="146" customFormat="false" ht="15" hidden="false" customHeight="false" outlineLevel="0" collapsed="false">
      <c r="A146" s="2" t="n">
        <v>21</v>
      </c>
      <c r="B146" s="2" t="s">
        <v>144</v>
      </c>
      <c r="C146" s="2" t="s">
        <v>335</v>
      </c>
      <c r="D146" s="8" t="n">
        <v>46111</v>
      </c>
      <c r="E146" s="2" t="n">
        <v>40.01</v>
      </c>
      <c r="F146" s="2" t="str">
        <f aca="false">IF(E146&gt;45,"Overallocated",IF(E146&lt;30,"Underutilized","OK"))</f>
        <v>OK</v>
      </c>
    </row>
    <row r="147" customFormat="false" ht="15" hidden="false" customHeight="false" outlineLevel="0" collapsed="false">
      <c r="A147" s="2" t="n">
        <v>22</v>
      </c>
      <c r="B147" s="2" t="s">
        <v>155</v>
      </c>
      <c r="C147" s="2" t="s">
        <v>336</v>
      </c>
      <c r="D147" s="8" t="n">
        <v>46111</v>
      </c>
      <c r="E147" s="2" t="n">
        <v>32.42</v>
      </c>
      <c r="F147" s="2" t="str">
        <f aca="false">IF(E147&gt;45,"Overallocated",IF(E147&lt;30,"Underutilized","OK"))</f>
        <v>OK</v>
      </c>
    </row>
    <row r="148" customFormat="false" ht="15" hidden="false" customHeight="false" outlineLevel="0" collapsed="false">
      <c r="A148" s="2" t="n">
        <v>23</v>
      </c>
      <c r="B148" s="2" t="s">
        <v>105</v>
      </c>
      <c r="C148" s="2" t="s">
        <v>336</v>
      </c>
      <c r="D148" s="8" t="n">
        <v>46111</v>
      </c>
      <c r="E148" s="2" t="n">
        <v>24.36</v>
      </c>
      <c r="F148" s="2" t="str">
        <f aca="false">IF(E148&gt;45,"Overallocated",IF(E148&lt;30,"Underutilized","OK"))</f>
        <v>Underutilized</v>
      </c>
    </row>
    <row r="149" customFormat="false" ht="15" hidden="false" customHeight="false" outlineLevel="0" collapsed="false">
      <c r="A149" s="2" t="n">
        <v>24</v>
      </c>
      <c r="B149" s="2" t="s">
        <v>100</v>
      </c>
      <c r="C149" s="2" t="s">
        <v>338</v>
      </c>
      <c r="D149" s="8" t="n">
        <v>46111</v>
      </c>
      <c r="E149" s="2" t="n">
        <v>32.81</v>
      </c>
      <c r="F149" s="2" t="str">
        <f aca="false">IF(E149&gt;45,"Overallocated",IF(E149&lt;30,"Underutilized","OK"))</f>
        <v>OK</v>
      </c>
    </row>
    <row r="150" customFormat="false" ht="15" hidden="false" customHeight="false" outlineLevel="0" collapsed="false">
      <c r="A150" s="2" t="n">
        <v>25</v>
      </c>
      <c r="B150" s="2" t="s">
        <v>125</v>
      </c>
      <c r="C150" s="2" t="s">
        <v>339</v>
      </c>
      <c r="D150" s="8" t="n">
        <v>46111</v>
      </c>
      <c r="E150" s="2" t="n">
        <v>28.9</v>
      </c>
      <c r="F150" s="2" t="str">
        <f aca="false">IF(E150&gt;45,"Overallocated",IF(E150&lt;30,"Underutilized","OK"))</f>
        <v>Underutilized</v>
      </c>
    </row>
    <row r="151" customFormat="false" ht="15" hidden="false" customHeight="false" outlineLevel="0" collapsed="false">
      <c r="A151" s="2" t="n">
        <v>26</v>
      </c>
      <c r="B151" s="2" t="s">
        <v>162</v>
      </c>
      <c r="C151" s="2" t="s">
        <v>335</v>
      </c>
      <c r="D151" s="8" t="n">
        <v>46111</v>
      </c>
      <c r="E151" s="2" t="n">
        <v>38.22</v>
      </c>
      <c r="F151" s="2" t="str">
        <f aca="false">IF(E151&gt;45,"Overallocated",IF(E151&lt;30,"Underutilized","OK"))</f>
        <v>OK</v>
      </c>
    </row>
    <row r="152" customFormat="false" ht="15" hidden="false" customHeight="false" outlineLevel="0" collapsed="false">
      <c r="A152" s="2" t="n">
        <v>27</v>
      </c>
      <c r="B152" s="2" t="s">
        <v>111</v>
      </c>
      <c r="C152" s="2" t="s">
        <v>338</v>
      </c>
      <c r="D152" s="8" t="n">
        <v>46111</v>
      </c>
      <c r="E152" s="2" t="n">
        <v>43.2</v>
      </c>
      <c r="F152" s="2" t="str">
        <f aca="false">IF(E152&gt;45,"Overallocated",IF(E152&lt;30,"Underutilized","OK"))</f>
        <v>OK</v>
      </c>
    </row>
    <row r="153" customFormat="false" ht="15" hidden="false" customHeight="false" outlineLevel="0" collapsed="false">
      <c r="A153" s="2" t="n">
        <v>29</v>
      </c>
      <c r="B153" s="2" t="s">
        <v>194</v>
      </c>
      <c r="C153" s="2" t="s">
        <v>337</v>
      </c>
      <c r="D153" s="8" t="n">
        <v>46111</v>
      </c>
      <c r="E153" s="2" t="n">
        <v>40.68</v>
      </c>
      <c r="F153" s="2" t="str">
        <f aca="false">IF(E153&gt;45,"Overallocated",IF(E153&lt;30,"Underutilized","OK"))</f>
        <v>OK</v>
      </c>
    </row>
    <row r="154" customFormat="false" ht="15" hidden="false" customHeight="false" outlineLevel="0" collapsed="false">
      <c r="A154" s="2" t="n">
        <v>30</v>
      </c>
      <c r="B154" s="2" t="s">
        <v>116</v>
      </c>
      <c r="C154" s="2" t="s">
        <v>338</v>
      </c>
      <c r="D154" s="8" t="n">
        <v>46111</v>
      </c>
      <c r="E154" s="2" t="n">
        <v>42.22</v>
      </c>
      <c r="F154" s="2" t="str">
        <f aca="false">IF(E154&gt;45,"Overallocated",IF(E154&lt;30,"Underutilized","OK"))</f>
        <v>OK</v>
      </c>
    </row>
    <row r="155" customFormat="false" ht="15" hidden="false" customHeight="false" outlineLevel="0" collapsed="false">
      <c r="A155" s="2" t="n">
        <v>31</v>
      </c>
      <c r="B155" s="2" t="s">
        <v>204</v>
      </c>
      <c r="C155" s="2" t="s">
        <v>335</v>
      </c>
      <c r="D155" s="8" t="n">
        <v>46111</v>
      </c>
      <c r="E155" s="2" t="n">
        <v>38.19</v>
      </c>
      <c r="F155" s="2" t="str">
        <f aca="false">IF(E155&gt;45,"Overallocated",IF(E155&lt;30,"Underutilized","OK"))</f>
        <v>OK</v>
      </c>
    </row>
    <row r="156" customFormat="false" ht="15" hidden="false" customHeight="false" outlineLevel="0" collapsed="false">
      <c r="A156" s="2" t="n">
        <v>32</v>
      </c>
      <c r="B156" s="2" t="s">
        <v>267</v>
      </c>
      <c r="C156" s="2" t="s">
        <v>335</v>
      </c>
      <c r="D156" s="8" t="n">
        <v>46111</v>
      </c>
      <c r="E156" s="2" t="n">
        <v>35.88</v>
      </c>
      <c r="F156" s="2" t="str">
        <f aca="false">IF(E156&gt;45,"Overallocated",IF(E156&lt;30,"Underutilized","OK"))</f>
        <v>OK</v>
      </c>
    </row>
    <row r="157" customFormat="false" ht="15" hidden="false" customHeight="false" outlineLevel="0" collapsed="false">
      <c r="A157" s="2" t="n">
        <v>33</v>
      </c>
      <c r="B157" s="2" t="s">
        <v>135</v>
      </c>
      <c r="C157" s="2" t="s">
        <v>337</v>
      </c>
      <c r="D157" s="8" t="n">
        <v>46111</v>
      </c>
      <c r="E157" s="2" t="n">
        <v>36.71</v>
      </c>
      <c r="F157" s="2" t="str">
        <f aca="false">IF(E157&gt;45,"Overallocated",IF(E157&lt;30,"Underutilized","OK"))</f>
        <v>OK</v>
      </c>
    </row>
    <row r="158" customFormat="false" ht="15" hidden="false" customHeight="false" outlineLevel="0" collapsed="false">
      <c r="A158" s="2" t="n">
        <v>34</v>
      </c>
      <c r="B158" s="2" t="s">
        <v>251</v>
      </c>
      <c r="C158" s="2" t="s">
        <v>336</v>
      </c>
      <c r="D158" s="8" t="n">
        <v>46111</v>
      </c>
      <c r="E158" s="2" t="n">
        <v>36.82</v>
      </c>
      <c r="F158" s="2" t="str">
        <f aca="false">IF(E158&gt;45,"Overallocated",IF(E158&lt;30,"Underutilized","OK"))</f>
        <v>OK</v>
      </c>
    </row>
    <row r="159" customFormat="false" ht="15" hidden="false" customHeight="false" outlineLevel="0" collapsed="false">
      <c r="A159" s="2" t="n">
        <v>35</v>
      </c>
      <c r="B159" s="2" t="s">
        <v>37</v>
      </c>
      <c r="C159" s="2" t="s">
        <v>337</v>
      </c>
      <c r="D159" s="8" t="n">
        <v>46111</v>
      </c>
      <c r="E159" s="2" t="n">
        <v>40.9</v>
      </c>
      <c r="F159" s="2" t="str">
        <f aca="false">IF(E159&gt;45,"Overallocated",IF(E159&lt;30,"Underutilized","OK"))</f>
        <v>OK</v>
      </c>
    </row>
    <row r="160" customFormat="false" ht="15" hidden="false" customHeight="false" outlineLevel="0" collapsed="false">
      <c r="A160" s="2" t="n">
        <v>36</v>
      </c>
      <c r="B160" s="2" t="s">
        <v>146</v>
      </c>
      <c r="C160" s="2" t="s">
        <v>339</v>
      </c>
      <c r="D160" s="8" t="n">
        <v>46111</v>
      </c>
      <c r="E160" s="2" t="n">
        <v>36.59</v>
      </c>
      <c r="F160" s="2" t="str">
        <f aca="false">IF(E160&gt;45,"Overallocated",IF(E160&lt;30,"Underutilized","OK"))</f>
        <v>OK</v>
      </c>
    </row>
    <row r="161" customFormat="false" ht="15" hidden="false" customHeight="false" outlineLevel="0" collapsed="false">
      <c r="A161" s="2" t="n">
        <v>37</v>
      </c>
      <c r="B161" s="2" t="s">
        <v>175</v>
      </c>
      <c r="C161" s="2" t="s">
        <v>335</v>
      </c>
      <c r="D161" s="8" t="n">
        <v>46111</v>
      </c>
      <c r="E161" s="2" t="n">
        <v>50.17</v>
      </c>
      <c r="F161" s="2" t="str">
        <f aca="false">IF(E161&gt;45,"Overallocated",IF(E161&lt;30,"Underutilized","OK"))</f>
        <v>Overallocated</v>
      </c>
    </row>
    <row r="162" customFormat="false" ht="15" hidden="false" customHeight="false" outlineLevel="0" collapsed="false">
      <c r="A162" s="2" t="n">
        <v>38</v>
      </c>
      <c r="B162" s="2" t="s">
        <v>121</v>
      </c>
      <c r="C162" s="2" t="s">
        <v>335</v>
      </c>
      <c r="D162" s="8" t="n">
        <v>46111</v>
      </c>
      <c r="E162" s="2" t="n">
        <v>42.35</v>
      </c>
      <c r="F162" s="2" t="str">
        <f aca="false">IF(E162&gt;45,"Overallocated",IF(E162&lt;30,"Underutilized","OK"))</f>
        <v>OK</v>
      </c>
    </row>
    <row r="163" customFormat="false" ht="15" hidden="false" customHeight="false" outlineLevel="0" collapsed="false">
      <c r="A163" s="2" t="n">
        <v>39</v>
      </c>
      <c r="B163" s="2" t="s">
        <v>198</v>
      </c>
      <c r="C163" s="2" t="s">
        <v>336</v>
      </c>
      <c r="D163" s="8" t="n">
        <v>46111</v>
      </c>
      <c r="E163" s="2" t="n">
        <v>39.45</v>
      </c>
      <c r="F163" s="2" t="str">
        <f aca="false">IF(E163&gt;45,"Overallocated",IF(E163&lt;30,"Underutilized","OK"))</f>
        <v>OK</v>
      </c>
    </row>
    <row r="164" customFormat="false" ht="15" hidden="false" customHeight="false" outlineLevel="0" collapsed="false">
      <c r="A164" s="2" t="n">
        <v>40</v>
      </c>
      <c r="B164" s="2" t="s">
        <v>201</v>
      </c>
      <c r="C164" s="2" t="s">
        <v>339</v>
      </c>
      <c r="D164" s="8" t="n">
        <v>46111</v>
      </c>
      <c r="E164" s="2" t="n">
        <v>47.83</v>
      </c>
      <c r="F164" s="2" t="str">
        <f aca="false">IF(E164&gt;45,"Overallocated",IF(E164&lt;30,"Underutilized","OK"))</f>
        <v>Overallocated</v>
      </c>
    </row>
    <row r="165" customFormat="false" ht="15" hidden="false" customHeight="false" outlineLevel="0" collapsed="false">
      <c r="A165" s="2" t="n">
        <v>42</v>
      </c>
      <c r="B165" s="2" t="s">
        <v>165</v>
      </c>
      <c r="C165" s="2" t="s">
        <v>340</v>
      </c>
      <c r="D165" s="8" t="n">
        <v>46111</v>
      </c>
      <c r="E165" s="2" t="n">
        <v>40.79</v>
      </c>
      <c r="F165" s="2" t="str">
        <f aca="false">IF(E165&gt;45,"Overallocated",IF(E165&lt;30,"Underutilized","OK"))</f>
        <v>OK</v>
      </c>
    </row>
    <row r="166" customFormat="false" ht="15" hidden="false" customHeight="false" outlineLevel="0" collapsed="false">
      <c r="A166" s="2" t="n">
        <v>43</v>
      </c>
      <c r="B166" s="2" t="s">
        <v>118</v>
      </c>
      <c r="C166" s="2" t="s">
        <v>337</v>
      </c>
      <c r="D166" s="8" t="n">
        <v>46111</v>
      </c>
      <c r="E166" s="2" t="n">
        <v>43.36</v>
      </c>
      <c r="F166" s="2" t="str">
        <f aca="false">IF(E166&gt;45,"Overallocated",IF(E166&lt;30,"Underutilized","OK"))</f>
        <v>OK</v>
      </c>
    </row>
    <row r="167" customFormat="false" ht="15" hidden="false" customHeight="false" outlineLevel="0" collapsed="false">
      <c r="A167" s="2" t="n">
        <v>44</v>
      </c>
      <c r="B167" s="2" t="s">
        <v>138</v>
      </c>
      <c r="C167" s="2" t="s">
        <v>335</v>
      </c>
      <c r="D167" s="8" t="n">
        <v>46111</v>
      </c>
      <c r="E167" s="2" t="n">
        <v>24.45</v>
      </c>
      <c r="F167" s="2" t="str">
        <f aca="false">IF(E167&gt;45,"Overallocated",IF(E167&lt;30,"Underutilized","OK"))</f>
        <v>Underutilized</v>
      </c>
    </row>
    <row r="168" customFormat="false" ht="15" hidden="false" customHeight="false" outlineLevel="0" collapsed="false">
      <c r="A168" s="2" t="n">
        <v>45</v>
      </c>
      <c r="B168" s="2" t="s">
        <v>113</v>
      </c>
      <c r="C168" s="2" t="s">
        <v>337</v>
      </c>
      <c r="D168" s="8" t="n">
        <v>46111</v>
      </c>
      <c r="E168" s="2" t="n">
        <v>47.9</v>
      </c>
      <c r="F168" s="2" t="str">
        <f aca="false">IF(E168&gt;45,"Overallocated",IF(E168&lt;30,"Underutilized","OK"))</f>
        <v>Overallocated</v>
      </c>
    </row>
    <row r="169" customFormat="false" ht="15" hidden="false" customHeight="false" outlineLevel="0" collapsed="false">
      <c r="A169" s="2" t="n">
        <v>46</v>
      </c>
      <c r="B169" s="2" t="s">
        <v>51</v>
      </c>
      <c r="C169" s="2" t="s">
        <v>336</v>
      </c>
      <c r="D169" s="8" t="n">
        <v>46111</v>
      </c>
      <c r="E169" s="2" t="n">
        <v>34.53</v>
      </c>
      <c r="F169" s="2" t="str">
        <f aca="false">IF(E169&gt;45,"Overallocated",IF(E169&lt;30,"Underutilized","OK"))</f>
        <v>OK</v>
      </c>
    </row>
    <row r="170" customFormat="false" ht="15" hidden="false" customHeight="false" outlineLevel="0" collapsed="false">
      <c r="A170" s="2" t="n">
        <v>47</v>
      </c>
      <c r="B170" s="2" t="s">
        <v>123</v>
      </c>
      <c r="C170" s="2" t="s">
        <v>335</v>
      </c>
      <c r="D170" s="8" t="n">
        <v>46111</v>
      </c>
      <c r="E170" s="2" t="n">
        <v>51.71</v>
      </c>
      <c r="F170" s="2" t="str">
        <f aca="false">IF(E170&gt;45,"Overallocated",IF(E170&lt;30,"Underutilized","OK"))</f>
        <v>Overallocated</v>
      </c>
    </row>
    <row r="171" customFormat="false" ht="15" hidden="false" customHeight="false" outlineLevel="0" collapsed="false">
      <c r="A171" s="2" t="n">
        <v>48</v>
      </c>
      <c r="B171" s="2" t="s">
        <v>97</v>
      </c>
      <c r="C171" s="2" t="s">
        <v>336</v>
      </c>
      <c r="D171" s="8" t="n">
        <v>46111</v>
      </c>
      <c r="E171" s="2" t="n">
        <v>37.26</v>
      </c>
      <c r="F171" s="2" t="str">
        <f aca="false">IF(E171&gt;45,"Overallocated",IF(E171&lt;30,"Underutilized","OK"))</f>
        <v>OK</v>
      </c>
    </row>
    <row r="172" customFormat="false" ht="15" hidden="false" customHeight="false" outlineLevel="0" collapsed="false">
      <c r="A172" s="2" t="n">
        <v>49</v>
      </c>
      <c r="B172" s="2" t="s">
        <v>148</v>
      </c>
      <c r="C172" s="2" t="s">
        <v>336</v>
      </c>
      <c r="D172" s="8" t="n">
        <v>46111</v>
      </c>
      <c r="E172" s="2" t="n">
        <v>36.09</v>
      </c>
      <c r="F172" s="2" t="str">
        <f aca="false">IF(E172&gt;45,"Overallocated",IF(E172&lt;30,"Underutilized","OK"))</f>
        <v>OK</v>
      </c>
    </row>
    <row r="173" customFormat="false" ht="15" hidden="false" customHeight="false" outlineLevel="0" collapsed="false">
      <c r="A173" s="2" t="n">
        <v>50</v>
      </c>
      <c r="B173" s="2" t="s">
        <v>107</v>
      </c>
      <c r="C173" s="2" t="s">
        <v>335</v>
      </c>
      <c r="D173" s="8" t="n">
        <v>46111</v>
      </c>
      <c r="E173" s="2" t="n">
        <v>36.99</v>
      </c>
      <c r="F173" s="2" t="str">
        <f aca="false">IF(E173&gt;45,"Overallocated",IF(E173&lt;30,"Underutilized","OK"))</f>
        <v>OK</v>
      </c>
    </row>
    <row r="174" customFormat="false" ht="15" hidden="false" customHeight="false" outlineLevel="0" collapsed="false">
      <c r="A174" s="2" t="n">
        <v>2</v>
      </c>
      <c r="B174" s="2" t="s">
        <v>47</v>
      </c>
      <c r="C174" s="2" t="s">
        <v>336</v>
      </c>
      <c r="D174" s="8" t="n">
        <v>46118</v>
      </c>
      <c r="E174" s="2" t="n">
        <v>36.37</v>
      </c>
      <c r="F174" s="2" t="str">
        <f aca="false">IF(E174&gt;45,"Overallocated",IF(E174&lt;30,"Underutilized","OK"))</f>
        <v>OK</v>
      </c>
    </row>
    <row r="175" customFormat="false" ht="15" hidden="false" customHeight="false" outlineLevel="0" collapsed="false">
      <c r="A175" s="2" t="n">
        <v>3</v>
      </c>
      <c r="B175" s="2" t="s">
        <v>44</v>
      </c>
      <c r="C175" s="2" t="s">
        <v>337</v>
      </c>
      <c r="D175" s="8" t="n">
        <v>46118</v>
      </c>
      <c r="E175" s="2" t="n">
        <v>40.92</v>
      </c>
      <c r="F175" s="2" t="str">
        <f aca="false">IF(E175&gt;45,"Overallocated",IF(E175&lt;30,"Underutilized","OK"))</f>
        <v>OK</v>
      </c>
    </row>
    <row r="176" customFormat="false" ht="15" hidden="false" customHeight="false" outlineLevel="0" collapsed="false">
      <c r="A176" s="2" t="n">
        <v>4</v>
      </c>
      <c r="B176" s="2" t="s">
        <v>66</v>
      </c>
      <c r="C176" s="2" t="s">
        <v>336</v>
      </c>
      <c r="D176" s="8" t="n">
        <v>46118</v>
      </c>
      <c r="E176" s="2" t="n">
        <v>34.84</v>
      </c>
      <c r="F176" s="2" t="str">
        <f aca="false">IF(E176&gt;45,"Overallocated",IF(E176&lt;30,"Underutilized","OK"))</f>
        <v>OK</v>
      </c>
    </row>
    <row r="177" customFormat="false" ht="15" hidden="false" customHeight="false" outlineLevel="0" collapsed="false">
      <c r="A177" s="2" t="n">
        <v>5</v>
      </c>
      <c r="B177" s="2" t="s">
        <v>57</v>
      </c>
      <c r="C177" s="2" t="s">
        <v>337</v>
      </c>
      <c r="D177" s="8" t="n">
        <v>46118</v>
      </c>
      <c r="E177" s="2" t="n">
        <v>39.92</v>
      </c>
      <c r="F177" s="2" t="str">
        <f aca="false">IF(E177&gt;45,"Overallocated",IF(E177&lt;30,"Underutilized","OK"))</f>
        <v>OK</v>
      </c>
    </row>
    <row r="178" customFormat="false" ht="15" hidden="false" customHeight="false" outlineLevel="0" collapsed="false">
      <c r="A178" s="2" t="n">
        <v>6</v>
      </c>
      <c r="B178" s="2" t="s">
        <v>41</v>
      </c>
      <c r="C178" s="2" t="s">
        <v>336</v>
      </c>
      <c r="D178" s="8" t="n">
        <v>46118</v>
      </c>
      <c r="E178" s="2" t="n">
        <v>49.4</v>
      </c>
      <c r="F178" s="2" t="str">
        <f aca="false">IF(E178&gt;45,"Overallocated",IF(E178&lt;30,"Underutilized","OK"))</f>
        <v>Overallocated</v>
      </c>
    </row>
    <row r="179" customFormat="false" ht="15" hidden="false" customHeight="false" outlineLevel="0" collapsed="false">
      <c r="A179" s="2" t="n">
        <v>7</v>
      </c>
      <c r="B179" s="2" t="s">
        <v>192</v>
      </c>
      <c r="C179" s="2" t="s">
        <v>336</v>
      </c>
      <c r="D179" s="8" t="n">
        <v>46118</v>
      </c>
      <c r="E179" s="2" t="n">
        <v>46.63</v>
      </c>
      <c r="F179" s="2" t="str">
        <f aca="false">IF(E179&gt;45,"Overallocated",IF(E179&lt;30,"Underutilized","OK"))</f>
        <v>Overallocated</v>
      </c>
    </row>
    <row r="180" customFormat="false" ht="15" hidden="false" customHeight="false" outlineLevel="0" collapsed="false">
      <c r="A180" s="2" t="n">
        <v>10</v>
      </c>
      <c r="B180" s="2" t="s">
        <v>222</v>
      </c>
      <c r="C180" s="2" t="s">
        <v>337</v>
      </c>
      <c r="D180" s="8" t="n">
        <v>46118</v>
      </c>
      <c r="E180" s="2" t="n">
        <v>41.84</v>
      </c>
      <c r="F180" s="2" t="str">
        <f aca="false">IF(E180&gt;45,"Overallocated",IF(E180&lt;30,"Underutilized","OK"))</f>
        <v>OK</v>
      </c>
    </row>
    <row r="181" customFormat="false" ht="15" hidden="false" customHeight="false" outlineLevel="0" collapsed="false">
      <c r="A181" s="2" t="n">
        <v>11</v>
      </c>
      <c r="B181" s="2" t="s">
        <v>286</v>
      </c>
      <c r="C181" s="2" t="s">
        <v>337</v>
      </c>
      <c r="D181" s="8" t="n">
        <v>46118</v>
      </c>
      <c r="E181" s="2" t="n">
        <v>39.38</v>
      </c>
      <c r="F181" s="2" t="str">
        <f aca="false">IF(E181&gt;45,"Overallocated",IF(E181&lt;30,"Underutilized","OK"))</f>
        <v>OK</v>
      </c>
    </row>
    <row r="182" customFormat="false" ht="15" hidden="false" customHeight="false" outlineLevel="0" collapsed="false">
      <c r="A182" s="2" t="n">
        <v>12</v>
      </c>
      <c r="B182" s="2" t="s">
        <v>188</v>
      </c>
      <c r="C182" s="2" t="s">
        <v>337</v>
      </c>
      <c r="D182" s="8" t="n">
        <v>46118</v>
      </c>
      <c r="E182" s="2" t="n">
        <v>35.99</v>
      </c>
      <c r="F182" s="2" t="str">
        <f aca="false">IF(E182&gt;45,"Overallocated",IF(E182&lt;30,"Underutilized","OK"))</f>
        <v>OK</v>
      </c>
    </row>
    <row r="183" customFormat="false" ht="15" hidden="false" customHeight="false" outlineLevel="0" collapsed="false">
      <c r="A183" s="2" t="n">
        <v>13</v>
      </c>
      <c r="B183" s="2" t="s">
        <v>131</v>
      </c>
      <c r="C183" s="2" t="s">
        <v>338</v>
      </c>
      <c r="D183" s="8" t="n">
        <v>46118</v>
      </c>
      <c r="E183" s="2" t="n">
        <v>42.64</v>
      </c>
      <c r="F183" s="2" t="str">
        <f aca="false">IF(E183&gt;45,"Overallocated",IF(E183&lt;30,"Underutilized","OK"))</f>
        <v>OK</v>
      </c>
    </row>
    <row r="184" customFormat="false" ht="15" hidden="false" customHeight="false" outlineLevel="0" collapsed="false">
      <c r="A184" s="2" t="n">
        <v>15</v>
      </c>
      <c r="B184" s="2" t="s">
        <v>153</v>
      </c>
      <c r="C184" s="2" t="s">
        <v>339</v>
      </c>
      <c r="D184" s="8" t="n">
        <v>46118</v>
      </c>
      <c r="E184" s="2" t="n">
        <v>27.78</v>
      </c>
      <c r="F184" s="2" t="str">
        <f aca="false">IF(E184&gt;45,"Overallocated",IF(E184&lt;30,"Underutilized","OK"))</f>
        <v>Underutilized</v>
      </c>
    </row>
    <row r="185" customFormat="false" ht="15" hidden="false" customHeight="false" outlineLevel="0" collapsed="false">
      <c r="A185" s="2" t="n">
        <v>16</v>
      </c>
      <c r="B185" s="2" t="s">
        <v>109</v>
      </c>
      <c r="C185" s="2" t="s">
        <v>339</v>
      </c>
      <c r="D185" s="8" t="n">
        <v>46118</v>
      </c>
      <c r="E185" s="2" t="n">
        <v>35.61</v>
      </c>
      <c r="F185" s="2" t="str">
        <f aca="false">IF(E185&gt;45,"Overallocated",IF(E185&lt;30,"Underutilized","OK"))</f>
        <v>OK</v>
      </c>
    </row>
    <row r="186" customFormat="false" ht="15" hidden="false" customHeight="false" outlineLevel="0" collapsed="false">
      <c r="A186" s="2" t="n">
        <v>17</v>
      </c>
      <c r="B186" s="2" t="s">
        <v>87</v>
      </c>
      <c r="C186" s="2" t="s">
        <v>337</v>
      </c>
      <c r="D186" s="8" t="n">
        <v>46118</v>
      </c>
      <c r="E186" s="2" t="n">
        <v>39.94</v>
      </c>
      <c r="F186" s="2" t="str">
        <f aca="false">IF(E186&gt;45,"Overallocated",IF(E186&lt;30,"Underutilized","OK"))</f>
        <v>OK</v>
      </c>
    </row>
    <row r="187" customFormat="false" ht="15" hidden="false" customHeight="false" outlineLevel="0" collapsed="false">
      <c r="A187" s="2" t="n">
        <v>18</v>
      </c>
      <c r="B187" s="2" t="s">
        <v>151</v>
      </c>
      <c r="C187" s="2" t="s">
        <v>336</v>
      </c>
      <c r="D187" s="8" t="n">
        <v>46118</v>
      </c>
      <c r="E187" s="2" t="n">
        <v>48.91</v>
      </c>
      <c r="F187" s="2" t="str">
        <f aca="false">IF(E187&gt;45,"Overallocated",IF(E187&lt;30,"Underutilized","OK"))</f>
        <v>Overallocated</v>
      </c>
    </row>
    <row r="188" customFormat="false" ht="15" hidden="false" customHeight="false" outlineLevel="0" collapsed="false">
      <c r="A188" s="2" t="n">
        <v>21</v>
      </c>
      <c r="B188" s="2" t="s">
        <v>144</v>
      </c>
      <c r="C188" s="2" t="s">
        <v>335</v>
      </c>
      <c r="D188" s="8" t="n">
        <v>46118</v>
      </c>
      <c r="E188" s="2" t="n">
        <v>49.91</v>
      </c>
      <c r="F188" s="2" t="str">
        <f aca="false">IF(E188&gt;45,"Overallocated",IF(E188&lt;30,"Underutilized","OK"))</f>
        <v>Overallocated</v>
      </c>
    </row>
    <row r="189" customFormat="false" ht="15" hidden="false" customHeight="false" outlineLevel="0" collapsed="false">
      <c r="A189" s="2" t="n">
        <v>22</v>
      </c>
      <c r="B189" s="2" t="s">
        <v>155</v>
      </c>
      <c r="C189" s="2" t="s">
        <v>336</v>
      </c>
      <c r="D189" s="8" t="n">
        <v>46118</v>
      </c>
      <c r="E189" s="2" t="n">
        <v>50.91</v>
      </c>
      <c r="F189" s="2" t="str">
        <f aca="false">IF(E189&gt;45,"Overallocated",IF(E189&lt;30,"Underutilized","OK"))</f>
        <v>Overallocated</v>
      </c>
    </row>
    <row r="190" customFormat="false" ht="15" hidden="false" customHeight="false" outlineLevel="0" collapsed="false">
      <c r="A190" s="2" t="n">
        <v>23</v>
      </c>
      <c r="B190" s="2" t="s">
        <v>105</v>
      </c>
      <c r="C190" s="2" t="s">
        <v>336</v>
      </c>
      <c r="D190" s="8" t="n">
        <v>46118</v>
      </c>
      <c r="E190" s="2" t="n">
        <v>32.13</v>
      </c>
      <c r="F190" s="2" t="str">
        <f aca="false">IF(E190&gt;45,"Overallocated",IF(E190&lt;30,"Underutilized","OK"))</f>
        <v>OK</v>
      </c>
    </row>
    <row r="191" customFormat="false" ht="15" hidden="false" customHeight="false" outlineLevel="0" collapsed="false">
      <c r="A191" s="2" t="n">
        <v>24</v>
      </c>
      <c r="B191" s="2" t="s">
        <v>100</v>
      </c>
      <c r="C191" s="2" t="s">
        <v>338</v>
      </c>
      <c r="D191" s="8" t="n">
        <v>46118</v>
      </c>
      <c r="E191" s="2" t="n">
        <v>42.83</v>
      </c>
      <c r="F191" s="2" t="str">
        <f aca="false">IF(E191&gt;45,"Overallocated",IF(E191&lt;30,"Underutilized","OK"))</f>
        <v>OK</v>
      </c>
    </row>
    <row r="192" customFormat="false" ht="15" hidden="false" customHeight="false" outlineLevel="0" collapsed="false">
      <c r="A192" s="2" t="n">
        <v>25</v>
      </c>
      <c r="B192" s="2" t="s">
        <v>125</v>
      </c>
      <c r="C192" s="2" t="s">
        <v>339</v>
      </c>
      <c r="D192" s="8" t="n">
        <v>46118</v>
      </c>
      <c r="E192" s="2" t="n">
        <v>41.33</v>
      </c>
      <c r="F192" s="2" t="str">
        <f aca="false">IF(E192&gt;45,"Overallocated",IF(E192&lt;30,"Underutilized","OK"))</f>
        <v>OK</v>
      </c>
    </row>
    <row r="193" customFormat="false" ht="15" hidden="false" customHeight="false" outlineLevel="0" collapsed="false">
      <c r="A193" s="2" t="n">
        <v>26</v>
      </c>
      <c r="B193" s="2" t="s">
        <v>162</v>
      </c>
      <c r="C193" s="2" t="s">
        <v>335</v>
      </c>
      <c r="D193" s="8" t="n">
        <v>46118</v>
      </c>
      <c r="E193" s="2" t="n">
        <v>45.28</v>
      </c>
      <c r="F193" s="2" t="str">
        <f aca="false">IF(E193&gt;45,"Overallocated",IF(E193&lt;30,"Underutilized","OK"))</f>
        <v>Overallocated</v>
      </c>
    </row>
    <row r="194" customFormat="false" ht="15" hidden="false" customHeight="false" outlineLevel="0" collapsed="false">
      <c r="A194" s="2" t="n">
        <v>27</v>
      </c>
      <c r="B194" s="2" t="s">
        <v>111</v>
      </c>
      <c r="C194" s="2" t="s">
        <v>338</v>
      </c>
      <c r="D194" s="8" t="n">
        <v>46118</v>
      </c>
      <c r="E194" s="2" t="n">
        <v>46.06</v>
      </c>
      <c r="F194" s="2" t="str">
        <f aca="false">IF(E194&gt;45,"Overallocated",IF(E194&lt;30,"Underutilized","OK"))</f>
        <v>Overallocated</v>
      </c>
    </row>
    <row r="195" customFormat="false" ht="15" hidden="false" customHeight="false" outlineLevel="0" collapsed="false">
      <c r="A195" s="2" t="n">
        <v>29</v>
      </c>
      <c r="B195" s="2" t="s">
        <v>194</v>
      </c>
      <c r="C195" s="2" t="s">
        <v>337</v>
      </c>
      <c r="D195" s="8" t="n">
        <v>46118</v>
      </c>
      <c r="E195" s="2" t="n">
        <v>47.44</v>
      </c>
      <c r="F195" s="2" t="str">
        <f aca="false">IF(E195&gt;45,"Overallocated",IF(E195&lt;30,"Underutilized","OK"))</f>
        <v>Overallocated</v>
      </c>
    </row>
    <row r="196" customFormat="false" ht="15" hidden="false" customHeight="false" outlineLevel="0" collapsed="false">
      <c r="A196" s="2" t="n">
        <v>30</v>
      </c>
      <c r="B196" s="2" t="s">
        <v>116</v>
      </c>
      <c r="C196" s="2" t="s">
        <v>338</v>
      </c>
      <c r="D196" s="8" t="n">
        <v>46118</v>
      </c>
      <c r="E196" s="2" t="n">
        <v>44.33</v>
      </c>
      <c r="F196" s="2" t="str">
        <f aca="false">IF(E196&gt;45,"Overallocated",IF(E196&lt;30,"Underutilized","OK"))</f>
        <v>OK</v>
      </c>
    </row>
    <row r="197" customFormat="false" ht="15" hidden="false" customHeight="false" outlineLevel="0" collapsed="false">
      <c r="A197" s="2" t="n">
        <v>31</v>
      </c>
      <c r="B197" s="2" t="s">
        <v>204</v>
      </c>
      <c r="C197" s="2" t="s">
        <v>335</v>
      </c>
      <c r="D197" s="8" t="n">
        <v>46118</v>
      </c>
      <c r="E197" s="2" t="n">
        <v>45.85</v>
      </c>
      <c r="F197" s="2" t="str">
        <f aca="false">IF(E197&gt;45,"Overallocated",IF(E197&lt;30,"Underutilized","OK"))</f>
        <v>Overallocated</v>
      </c>
    </row>
    <row r="198" customFormat="false" ht="15" hidden="false" customHeight="false" outlineLevel="0" collapsed="false">
      <c r="A198" s="2" t="n">
        <v>32</v>
      </c>
      <c r="B198" s="2" t="s">
        <v>267</v>
      </c>
      <c r="C198" s="2" t="s">
        <v>335</v>
      </c>
      <c r="D198" s="8" t="n">
        <v>46118</v>
      </c>
      <c r="E198" s="2" t="n">
        <v>38.48</v>
      </c>
      <c r="F198" s="2" t="str">
        <f aca="false">IF(E198&gt;45,"Overallocated",IF(E198&lt;30,"Underutilized","OK"))</f>
        <v>OK</v>
      </c>
    </row>
    <row r="199" customFormat="false" ht="15" hidden="false" customHeight="false" outlineLevel="0" collapsed="false">
      <c r="A199" s="2" t="n">
        <v>33</v>
      </c>
      <c r="B199" s="2" t="s">
        <v>135</v>
      </c>
      <c r="C199" s="2" t="s">
        <v>337</v>
      </c>
      <c r="D199" s="8" t="n">
        <v>46118</v>
      </c>
      <c r="E199" s="2" t="n">
        <v>37.94</v>
      </c>
      <c r="F199" s="2" t="str">
        <f aca="false">IF(E199&gt;45,"Overallocated",IF(E199&lt;30,"Underutilized","OK"))</f>
        <v>OK</v>
      </c>
    </row>
    <row r="200" customFormat="false" ht="15" hidden="false" customHeight="false" outlineLevel="0" collapsed="false">
      <c r="A200" s="2" t="n">
        <v>34</v>
      </c>
      <c r="B200" s="2" t="s">
        <v>251</v>
      </c>
      <c r="C200" s="2" t="s">
        <v>336</v>
      </c>
      <c r="D200" s="8" t="n">
        <v>46118</v>
      </c>
      <c r="E200" s="2" t="n">
        <v>54.73</v>
      </c>
      <c r="F200" s="2" t="str">
        <f aca="false">IF(E200&gt;45,"Overallocated",IF(E200&lt;30,"Underutilized","OK"))</f>
        <v>Overallocated</v>
      </c>
    </row>
    <row r="201" customFormat="false" ht="15" hidden="false" customHeight="false" outlineLevel="0" collapsed="false">
      <c r="A201" s="2" t="n">
        <v>36</v>
      </c>
      <c r="B201" s="2" t="s">
        <v>146</v>
      </c>
      <c r="C201" s="2" t="s">
        <v>339</v>
      </c>
      <c r="D201" s="8" t="n">
        <v>46118</v>
      </c>
      <c r="E201" s="2" t="n">
        <v>47.43</v>
      </c>
      <c r="F201" s="2" t="str">
        <f aca="false">IF(E201&gt;45,"Overallocated",IF(E201&lt;30,"Underutilized","OK"))</f>
        <v>Overallocated</v>
      </c>
    </row>
    <row r="202" customFormat="false" ht="15" hidden="false" customHeight="false" outlineLevel="0" collapsed="false">
      <c r="A202" s="2" t="n">
        <v>37</v>
      </c>
      <c r="B202" s="2" t="s">
        <v>175</v>
      </c>
      <c r="C202" s="2" t="s">
        <v>335</v>
      </c>
      <c r="D202" s="8" t="n">
        <v>46118</v>
      </c>
      <c r="E202" s="2" t="n">
        <v>40.02</v>
      </c>
      <c r="F202" s="2" t="str">
        <f aca="false">IF(E202&gt;45,"Overallocated",IF(E202&lt;30,"Underutilized","OK"))</f>
        <v>OK</v>
      </c>
    </row>
    <row r="203" customFormat="false" ht="15" hidden="false" customHeight="false" outlineLevel="0" collapsed="false">
      <c r="A203" s="2" t="n">
        <v>38</v>
      </c>
      <c r="B203" s="2" t="s">
        <v>121</v>
      </c>
      <c r="C203" s="2" t="s">
        <v>335</v>
      </c>
      <c r="D203" s="8" t="n">
        <v>46118</v>
      </c>
      <c r="E203" s="2" t="n">
        <v>36.87</v>
      </c>
      <c r="F203" s="2" t="str">
        <f aca="false">IF(E203&gt;45,"Overallocated",IF(E203&lt;30,"Underutilized","OK"))</f>
        <v>OK</v>
      </c>
    </row>
    <row r="204" customFormat="false" ht="15" hidden="false" customHeight="false" outlineLevel="0" collapsed="false">
      <c r="A204" s="2" t="n">
        <v>40</v>
      </c>
      <c r="B204" s="2" t="s">
        <v>201</v>
      </c>
      <c r="C204" s="2" t="s">
        <v>339</v>
      </c>
      <c r="D204" s="8" t="n">
        <v>46118</v>
      </c>
      <c r="E204" s="2" t="n">
        <v>34.48</v>
      </c>
      <c r="F204" s="2" t="str">
        <f aca="false">IF(E204&gt;45,"Overallocated",IF(E204&lt;30,"Underutilized","OK"))</f>
        <v>OK</v>
      </c>
    </row>
    <row r="205" customFormat="false" ht="15" hidden="false" customHeight="false" outlineLevel="0" collapsed="false">
      <c r="A205" s="2" t="n">
        <v>41</v>
      </c>
      <c r="B205" s="2" t="s">
        <v>92</v>
      </c>
      <c r="C205" s="2" t="s">
        <v>336</v>
      </c>
      <c r="D205" s="8" t="n">
        <v>46118</v>
      </c>
      <c r="E205" s="2" t="n">
        <v>57.56</v>
      </c>
      <c r="F205" s="2" t="str">
        <f aca="false">IF(E205&gt;45,"Overallocated",IF(E205&lt;30,"Underutilized","OK"))</f>
        <v>Overallocated</v>
      </c>
    </row>
    <row r="206" customFormat="false" ht="15" hidden="false" customHeight="false" outlineLevel="0" collapsed="false">
      <c r="A206" s="2" t="n">
        <v>42</v>
      </c>
      <c r="B206" s="2" t="s">
        <v>165</v>
      </c>
      <c r="C206" s="2" t="s">
        <v>340</v>
      </c>
      <c r="D206" s="8" t="n">
        <v>46118</v>
      </c>
      <c r="E206" s="2" t="n">
        <v>38.76</v>
      </c>
      <c r="F206" s="2" t="str">
        <f aca="false">IF(E206&gt;45,"Overallocated",IF(E206&lt;30,"Underutilized","OK"))</f>
        <v>OK</v>
      </c>
    </row>
    <row r="207" customFormat="false" ht="15" hidden="false" customHeight="false" outlineLevel="0" collapsed="false">
      <c r="A207" s="2" t="n">
        <v>43</v>
      </c>
      <c r="B207" s="2" t="s">
        <v>118</v>
      </c>
      <c r="C207" s="2" t="s">
        <v>337</v>
      </c>
      <c r="D207" s="8" t="n">
        <v>46118</v>
      </c>
      <c r="E207" s="2" t="n">
        <v>34.62</v>
      </c>
      <c r="F207" s="2" t="str">
        <f aca="false">IF(E207&gt;45,"Overallocated",IF(E207&lt;30,"Underutilized","OK"))</f>
        <v>OK</v>
      </c>
    </row>
    <row r="208" customFormat="false" ht="15" hidden="false" customHeight="false" outlineLevel="0" collapsed="false">
      <c r="A208" s="2" t="n">
        <v>44</v>
      </c>
      <c r="B208" s="2" t="s">
        <v>138</v>
      </c>
      <c r="C208" s="2" t="s">
        <v>335</v>
      </c>
      <c r="D208" s="8" t="n">
        <v>46118</v>
      </c>
      <c r="E208" s="2" t="n">
        <v>49.45</v>
      </c>
      <c r="F208" s="2" t="str">
        <f aca="false">IF(E208&gt;45,"Overallocated",IF(E208&lt;30,"Underutilized","OK"))</f>
        <v>Overallocated</v>
      </c>
    </row>
    <row r="209" customFormat="false" ht="15" hidden="false" customHeight="false" outlineLevel="0" collapsed="false">
      <c r="A209" s="2" t="n">
        <v>45</v>
      </c>
      <c r="B209" s="2" t="s">
        <v>113</v>
      </c>
      <c r="C209" s="2" t="s">
        <v>337</v>
      </c>
      <c r="D209" s="8" t="n">
        <v>46118</v>
      </c>
      <c r="E209" s="2" t="n">
        <v>46.57</v>
      </c>
      <c r="F209" s="2" t="str">
        <f aca="false">IF(E209&gt;45,"Overallocated",IF(E209&lt;30,"Underutilized","OK"))</f>
        <v>Overallocated</v>
      </c>
    </row>
    <row r="210" customFormat="false" ht="15" hidden="false" customHeight="false" outlineLevel="0" collapsed="false">
      <c r="A210" s="2" t="n">
        <v>46</v>
      </c>
      <c r="B210" s="2" t="s">
        <v>51</v>
      </c>
      <c r="C210" s="2" t="s">
        <v>336</v>
      </c>
      <c r="D210" s="8" t="n">
        <v>46118</v>
      </c>
      <c r="E210" s="2" t="n">
        <v>36.4</v>
      </c>
      <c r="F210" s="2" t="str">
        <f aca="false">IF(E210&gt;45,"Overallocated",IF(E210&lt;30,"Underutilized","OK"))</f>
        <v>OK</v>
      </c>
    </row>
    <row r="211" customFormat="false" ht="15" hidden="false" customHeight="false" outlineLevel="0" collapsed="false">
      <c r="A211" s="2" t="n">
        <v>47</v>
      </c>
      <c r="B211" s="2" t="s">
        <v>123</v>
      </c>
      <c r="C211" s="2" t="s">
        <v>335</v>
      </c>
      <c r="D211" s="8" t="n">
        <v>46118</v>
      </c>
      <c r="E211" s="2" t="n">
        <v>35.24</v>
      </c>
      <c r="F211" s="2" t="str">
        <f aca="false">IF(E211&gt;45,"Overallocated",IF(E211&lt;30,"Underutilized","OK"))</f>
        <v>OK</v>
      </c>
    </row>
    <row r="212" customFormat="false" ht="15" hidden="false" customHeight="false" outlineLevel="0" collapsed="false">
      <c r="A212" s="2" t="n">
        <v>48</v>
      </c>
      <c r="B212" s="2" t="s">
        <v>97</v>
      </c>
      <c r="C212" s="2" t="s">
        <v>336</v>
      </c>
      <c r="D212" s="8" t="n">
        <v>46118</v>
      </c>
      <c r="E212" s="2" t="n">
        <v>29.29</v>
      </c>
      <c r="F212" s="2" t="str">
        <f aca="false">IF(E212&gt;45,"Overallocated",IF(E212&lt;30,"Underutilized","OK"))</f>
        <v>Underutilized</v>
      </c>
    </row>
    <row r="213" customFormat="false" ht="15" hidden="false" customHeight="false" outlineLevel="0" collapsed="false">
      <c r="A213" s="2" t="n">
        <v>49</v>
      </c>
      <c r="B213" s="2" t="s">
        <v>148</v>
      </c>
      <c r="C213" s="2" t="s">
        <v>336</v>
      </c>
      <c r="D213" s="8" t="n">
        <v>46118</v>
      </c>
      <c r="E213" s="2" t="n">
        <v>37.16</v>
      </c>
      <c r="F213" s="2" t="str">
        <f aca="false">IF(E213&gt;45,"Overallocated",IF(E213&lt;30,"Underutilized","OK"))</f>
        <v>OK</v>
      </c>
    </row>
    <row r="214" customFormat="false" ht="15" hidden="false" customHeight="false" outlineLevel="0" collapsed="false">
      <c r="A214" s="2" t="n">
        <v>50</v>
      </c>
      <c r="B214" s="2" t="s">
        <v>107</v>
      </c>
      <c r="C214" s="2" t="s">
        <v>335</v>
      </c>
      <c r="D214" s="8" t="n">
        <v>46118</v>
      </c>
      <c r="E214" s="2" t="n">
        <v>40.36</v>
      </c>
      <c r="F214" s="2" t="str">
        <f aca="false">IF(E214&gt;45,"Overallocated",IF(E214&lt;30,"Underutilized","OK"))</f>
        <v>OK</v>
      </c>
    </row>
    <row r="215" customFormat="false" ht="15" hidden="false" customHeight="false" outlineLevel="0" collapsed="false">
      <c r="A215" s="2" t="n">
        <v>2</v>
      </c>
      <c r="B215" s="2" t="s">
        <v>47</v>
      </c>
      <c r="C215" s="2" t="s">
        <v>336</v>
      </c>
      <c r="D215" s="8" t="n">
        <v>46125</v>
      </c>
      <c r="E215" s="2" t="n">
        <v>39.09</v>
      </c>
      <c r="F215" s="2" t="str">
        <f aca="false">IF(E215&gt;45,"Overallocated",IF(E215&lt;30,"Underutilized","OK"))</f>
        <v>OK</v>
      </c>
    </row>
    <row r="216" customFormat="false" ht="15" hidden="false" customHeight="false" outlineLevel="0" collapsed="false">
      <c r="A216" s="2" t="n">
        <v>3</v>
      </c>
      <c r="B216" s="2" t="s">
        <v>44</v>
      </c>
      <c r="C216" s="2" t="s">
        <v>337</v>
      </c>
      <c r="D216" s="8" t="n">
        <v>46125</v>
      </c>
      <c r="E216" s="2" t="n">
        <v>42.57</v>
      </c>
      <c r="F216" s="2" t="str">
        <f aca="false">IF(E216&gt;45,"Overallocated",IF(E216&lt;30,"Underutilized","OK"))</f>
        <v>OK</v>
      </c>
    </row>
    <row r="217" customFormat="false" ht="15" hidden="false" customHeight="false" outlineLevel="0" collapsed="false">
      <c r="A217" s="2" t="n">
        <v>4</v>
      </c>
      <c r="B217" s="2" t="s">
        <v>66</v>
      </c>
      <c r="C217" s="2" t="s">
        <v>336</v>
      </c>
      <c r="D217" s="8" t="n">
        <v>46125</v>
      </c>
      <c r="E217" s="2" t="n">
        <v>42.72</v>
      </c>
      <c r="F217" s="2" t="str">
        <f aca="false">IF(E217&gt;45,"Overallocated",IF(E217&lt;30,"Underutilized","OK"))</f>
        <v>OK</v>
      </c>
    </row>
    <row r="218" customFormat="false" ht="15" hidden="false" customHeight="false" outlineLevel="0" collapsed="false">
      <c r="A218" s="2" t="n">
        <v>5</v>
      </c>
      <c r="B218" s="2" t="s">
        <v>57</v>
      </c>
      <c r="C218" s="2" t="s">
        <v>337</v>
      </c>
      <c r="D218" s="8" t="n">
        <v>46125</v>
      </c>
      <c r="E218" s="2" t="n">
        <v>39.58</v>
      </c>
      <c r="F218" s="2" t="str">
        <f aca="false">IF(E218&gt;45,"Overallocated",IF(E218&lt;30,"Underutilized","OK"))</f>
        <v>OK</v>
      </c>
    </row>
    <row r="219" customFormat="false" ht="15" hidden="false" customHeight="false" outlineLevel="0" collapsed="false">
      <c r="A219" s="2" t="n">
        <v>7</v>
      </c>
      <c r="B219" s="2" t="s">
        <v>192</v>
      </c>
      <c r="C219" s="2" t="s">
        <v>336</v>
      </c>
      <c r="D219" s="8" t="n">
        <v>46125</v>
      </c>
      <c r="E219" s="2" t="n">
        <v>45.9</v>
      </c>
      <c r="F219" s="2" t="str">
        <f aca="false">IF(E219&gt;45,"Overallocated",IF(E219&lt;30,"Underutilized","OK"))</f>
        <v>Overallocated</v>
      </c>
    </row>
    <row r="220" customFormat="false" ht="15" hidden="false" customHeight="false" outlineLevel="0" collapsed="false">
      <c r="A220" s="2" t="n">
        <v>8</v>
      </c>
      <c r="B220" s="2" t="s">
        <v>99</v>
      </c>
      <c r="C220" s="2" t="s">
        <v>336</v>
      </c>
      <c r="D220" s="8" t="n">
        <v>46125</v>
      </c>
      <c r="E220" s="2" t="n">
        <v>28.79</v>
      </c>
      <c r="F220" s="2" t="str">
        <f aca="false">IF(E220&gt;45,"Overallocated",IF(E220&lt;30,"Underutilized","OK"))</f>
        <v>Underutilized</v>
      </c>
    </row>
    <row r="221" customFormat="false" ht="15" hidden="false" customHeight="false" outlineLevel="0" collapsed="false">
      <c r="A221" s="2" t="n">
        <v>9</v>
      </c>
      <c r="B221" s="2" t="s">
        <v>229</v>
      </c>
      <c r="C221" s="2" t="s">
        <v>335</v>
      </c>
      <c r="D221" s="8" t="n">
        <v>46125</v>
      </c>
      <c r="E221" s="2" t="n">
        <v>37.69</v>
      </c>
      <c r="F221" s="2" t="str">
        <f aca="false">IF(E221&gt;45,"Overallocated",IF(E221&lt;30,"Underutilized","OK"))</f>
        <v>OK</v>
      </c>
    </row>
    <row r="222" customFormat="false" ht="15" hidden="false" customHeight="false" outlineLevel="0" collapsed="false">
      <c r="A222" s="2" t="n">
        <v>10</v>
      </c>
      <c r="B222" s="2" t="s">
        <v>222</v>
      </c>
      <c r="C222" s="2" t="s">
        <v>337</v>
      </c>
      <c r="D222" s="8" t="n">
        <v>46125</v>
      </c>
      <c r="E222" s="2" t="n">
        <v>47.1</v>
      </c>
      <c r="F222" s="2" t="str">
        <f aca="false">IF(E222&gt;45,"Overallocated",IF(E222&lt;30,"Underutilized","OK"))</f>
        <v>Overallocated</v>
      </c>
    </row>
    <row r="223" customFormat="false" ht="15" hidden="false" customHeight="false" outlineLevel="0" collapsed="false">
      <c r="A223" s="2" t="n">
        <v>11</v>
      </c>
      <c r="B223" s="2" t="s">
        <v>286</v>
      </c>
      <c r="C223" s="2" t="s">
        <v>337</v>
      </c>
      <c r="D223" s="8" t="n">
        <v>46125</v>
      </c>
      <c r="E223" s="2" t="n">
        <v>36.43</v>
      </c>
      <c r="F223" s="2" t="str">
        <f aca="false">IF(E223&gt;45,"Overallocated",IF(E223&lt;30,"Underutilized","OK"))</f>
        <v>OK</v>
      </c>
    </row>
    <row r="224" customFormat="false" ht="15" hidden="false" customHeight="false" outlineLevel="0" collapsed="false">
      <c r="A224" s="2" t="n">
        <v>12</v>
      </c>
      <c r="B224" s="2" t="s">
        <v>188</v>
      </c>
      <c r="C224" s="2" t="s">
        <v>337</v>
      </c>
      <c r="D224" s="8" t="n">
        <v>46125</v>
      </c>
      <c r="E224" s="2" t="n">
        <v>38.93</v>
      </c>
      <c r="F224" s="2" t="str">
        <f aca="false">IF(E224&gt;45,"Overallocated",IF(E224&lt;30,"Underutilized","OK"))</f>
        <v>OK</v>
      </c>
    </row>
    <row r="225" customFormat="false" ht="15" hidden="false" customHeight="false" outlineLevel="0" collapsed="false">
      <c r="A225" s="2" t="n">
        <v>13</v>
      </c>
      <c r="B225" s="2" t="s">
        <v>131</v>
      </c>
      <c r="C225" s="2" t="s">
        <v>338</v>
      </c>
      <c r="D225" s="8" t="n">
        <v>46125</v>
      </c>
      <c r="E225" s="2" t="n">
        <v>29.09</v>
      </c>
      <c r="F225" s="2" t="str">
        <f aca="false">IF(E225&gt;45,"Overallocated",IF(E225&lt;30,"Underutilized","OK"))</f>
        <v>Underutilized</v>
      </c>
    </row>
    <row r="226" customFormat="false" ht="15" hidden="false" customHeight="false" outlineLevel="0" collapsed="false">
      <c r="A226" s="2" t="n">
        <v>14</v>
      </c>
      <c r="B226" s="2" t="s">
        <v>249</v>
      </c>
      <c r="C226" s="2" t="s">
        <v>335</v>
      </c>
      <c r="D226" s="8" t="n">
        <v>46125</v>
      </c>
      <c r="E226" s="2" t="n">
        <v>28.67</v>
      </c>
      <c r="F226" s="2" t="str">
        <f aca="false">IF(E226&gt;45,"Overallocated",IF(E226&lt;30,"Underutilized","OK"))</f>
        <v>Underutilized</v>
      </c>
    </row>
    <row r="227" customFormat="false" ht="15" hidden="false" customHeight="false" outlineLevel="0" collapsed="false">
      <c r="A227" s="2" t="n">
        <v>15</v>
      </c>
      <c r="B227" s="2" t="s">
        <v>153</v>
      </c>
      <c r="C227" s="2" t="s">
        <v>339</v>
      </c>
      <c r="D227" s="8" t="n">
        <v>46125</v>
      </c>
      <c r="E227" s="2" t="n">
        <v>35.91</v>
      </c>
      <c r="F227" s="2" t="str">
        <f aca="false">IF(E227&gt;45,"Overallocated",IF(E227&lt;30,"Underutilized","OK"))</f>
        <v>OK</v>
      </c>
    </row>
    <row r="228" customFormat="false" ht="15" hidden="false" customHeight="false" outlineLevel="0" collapsed="false">
      <c r="A228" s="2" t="n">
        <v>17</v>
      </c>
      <c r="B228" s="2" t="s">
        <v>87</v>
      </c>
      <c r="C228" s="2" t="s">
        <v>337</v>
      </c>
      <c r="D228" s="8" t="n">
        <v>46125</v>
      </c>
      <c r="E228" s="2" t="n">
        <v>43.54</v>
      </c>
      <c r="F228" s="2" t="str">
        <f aca="false">IF(E228&gt;45,"Overallocated",IF(E228&lt;30,"Underutilized","OK"))</f>
        <v>OK</v>
      </c>
    </row>
    <row r="229" customFormat="false" ht="15" hidden="false" customHeight="false" outlineLevel="0" collapsed="false">
      <c r="A229" s="2" t="n">
        <v>18</v>
      </c>
      <c r="B229" s="2" t="s">
        <v>151</v>
      </c>
      <c r="C229" s="2" t="s">
        <v>336</v>
      </c>
      <c r="D229" s="8" t="n">
        <v>46125</v>
      </c>
      <c r="E229" s="2" t="n">
        <v>41.44</v>
      </c>
      <c r="F229" s="2" t="str">
        <f aca="false">IF(E229&gt;45,"Overallocated",IF(E229&lt;30,"Underutilized","OK"))</f>
        <v>OK</v>
      </c>
    </row>
    <row r="230" customFormat="false" ht="15" hidden="false" customHeight="false" outlineLevel="0" collapsed="false">
      <c r="A230" s="2" t="n">
        <v>19</v>
      </c>
      <c r="B230" s="2" t="s">
        <v>90</v>
      </c>
      <c r="C230" s="2" t="s">
        <v>338</v>
      </c>
      <c r="D230" s="8" t="n">
        <v>46125</v>
      </c>
      <c r="E230" s="2" t="n">
        <v>48.91</v>
      </c>
      <c r="F230" s="2" t="str">
        <f aca="false">IF(E230&gt;45,"Overallocated",IF(E230&lt;30,"Underutilized","OK"))</f>
        <v>Overallocated</v>
      </c>
    </row>
    <row r="231" customFormat="false" ht="15" hidden="false" customHeight="false" outlineLevel="0" collapsed="false">
      <c r="A231" s="2" t="n">
        <v>20</v>
      </c>
      <c r="B231" s="2" t="s">
        <v>103</v>
      </c>
      <c r="C231" s="2" t="s">
        <v>335</v>
      </c>
      <c r="D231" s="8" t="n">
        <v>46125</v>
      </c>
      <c r="E231" s="2" t="n">
        <v>42.66</v>
      </c>
      <c r="F231" s="2" t="str">
        <f aca="false">IF(E231&gt;45,"Overallocated",IF(E231&lt;30,"Underutilized","OK"))</f>
        <v>OK</v>
      </c>
    </row>
    <row r="232" customFormat="false" ht="15" hidden="false" customHeight="false" outlineLevel="0" collapsed="false">
      <c r="A232" s="2" t="n">
        <v>21</v>
      </c>
      <c r="B232" s="2" t="s">
        <v>144</v>
      </c>
      <c r="C232" s="2" t="s">
        <v>335</v>
      </c>
      <c r="D232" s="8" t="n">
        <v>46125</v>
      </c>
      <c r="E232" s="2" t="n">
        <v>39.14</v>
      </c>
      <c r="F232" s="2" t="str">
        <f aca="false">IF(E232&gt;45,"Overallocated",IF(E232&lt;30,"Underutilized","OK"))</f>
        <v>OK</v>
      </c>
    </row>
    <row r="233" customFormat="false" ht="15" hidden="false" customHeight="false" outlineLevel="0" collapsed="false">
      <c r="A233" s="2" t="n">
        <v>22</v>
      </c>
      <c r="B233" s="2" t="s">
        <v>155</v>
      </c>
      <c r="C233" s="2" t="s">
        <v>336</v>
      </c>
      <c r="D233" s="8" t="n">
        <v>46125</v>
      </c>
      <c r="E233" s="2" t="n">
        <v>51.85</v>
      </c>
      <c r="F233" s="2" t="str">
        <f aca="false">IF(E233&gt;45,"Overallocated",IF(E233&lt;30,"Underutilized","OK"))</f>
        <v>Overallocated</v>
      </c>
    </row>
    <row r="234" customFormat="false" ht="15" hidden="false" customHeight="false" outlineLevel="0" collapsed="false">
      <c r="A234" s="2" t="n">
        <v>23</v>
      </c>
      <c r="B234" s="2" t="s">
        <v>105</v>
      </c>
      <c r="C234" s="2" t="s">
        <v>336</v>
      </c>
      <c r="D234" s="8" t="n">
        <v>46125</v>
      </c>
      <c r="E234" s="2" t="n">
        <v>50.83</v>
      </c>
      <c r="F234" s="2" t="str">
        <f aca="false">IF(E234&gt;45,"Overallocated",IF(E234&lt;30,"Underutilized","OK"))</f>
        <v>Overallocated</v>
      </c>
    </row>
    <row r="235" customFormat="false" ht="15" hidden="false" customHeight="false" outlineLevel="0" collapsed="false">
      <c r="A235" s="2" t="n">
        <v>24</v>
      </c>
      <c r="B235" s="2" t="s">
        <v>100</v>
      </c>
      <c r="C235" s="2" t="s">
        <v>338</v>
      </c>
      <c r="D235" s="8" t="n">
        <v>46125</v>
      </c>
      <c r="E235" s="2" t="n">
        <v>46.91</v>
      </c>
      <c r="F235" s="2" t="str">
        <f aca="false">IF(E235&gt;45,"Overallocated",IF(E235&lt;30,"Underutilized","OK"))</f>
        <v>Overallocated</v>
      </c>
    </row>
    <row r="236" customFormat="false" ht="15" hidden="false" customHeight="false" outlineLevel="0" collapsed="false">
      <c r="A236" s="2" t="n">
        <v>25</v>
      </c>
      <c r="B236" s="2" t="s">
        <v>125</v>
      </c>
      <c r="C236" s="2" t="s">
        <v>339</v>
      </c>
      <c r="D236" s="8" t="n">
        <v>46125</v>
      </c>
      <c r="E236" s="2" t="n">
        <v>32.09</v>
      </c>
      <c r="F236" s="2" t="str">
        <f aca="false">IF(E236&gt;45,"Overallocated",IF(E236&lt;30,"Underutilized","OK"))</f>
        <v>OK</v>
      </c>
    </row>
    <row r="237" customFormat="false" ht="15" hidden="false" customHeight="false" outlineLevel="0" collapsed="false">
      <c r="A237" s="2" t="n">
        <v>26</v>
      </c>
      <c r="B237" s="2" t="s">
        <v>162</v>
      </c>
      <c r="C237" s="2" t="s">
        <v>335</v>
      </c>
      <c r="D237" s="8" t="n">
        <v>46125</v>
      </c>
      <c r="E237" s="2" t="n">
        <v>43.07</v>
      </c>
      <c r="F237" s="2" t="str">
        <f aca="false">IF(E237&gt;45,"Overallocated",IF(E237&lt;30,"Underutilized","OK"))</f>
        <v>OK</v>
      </c>
    </row>
    <row r="238" customFormat="false" ht="15" hidden="false" customHeight="false" outlineLevel="0" collapsed="false">
      <c r="A238" s="2" t="n">
        <v>27</v>
      </c>
      <c r="B238" s="2" t="s">
        <v>111</v>
      </c>
      <c r="C238" s="2" t="s">
        <v>338</v>
      </c>
      <c r="D238" s="8" t="n">
        <v>46125</v>
      </c>
      <c r="E238" s="2" t="n">
        <v>54.42</v>
      </c>
      <c r="F238" s="2" t="str">
        <f aca="false">IF(E238&gt;45,"Overallocated",IF(E238&lt;30,"Underutilized","OK"))</f>
        <v>Overallocated</v>
      </c>
    </row>
    <row r="239" customFormat="false" ht="15" hidden="false" customHeight="false" outlineLevel="0" collapsed="false">
      <c r="A239" s="2" t="n">
        <v>28</v>
      </c>
      <c r="B239" s="2" t="s">
        <v>160</v>
      </c>
      <c r="C239" s="2" t="s">
        <v>340</v>
      </c>
      <c r="D239" s="8" t="n">
        <v>46125</v>
      </c>
      <c r="E239" s="2" t="n">
        <v>34.67</v>
      </c>
      <c r="F239" s="2" t="str">
        <f aca="false">IF(E239&gt;45,"Overallocated",IF(E239&lt;30,"Underutilized","OK"))</f>
        <v>OK</v>
      </c>
    </row>
    <row r="240" customFormat="false" ht="15" hidden="false" customHeight="false" outlineLevel="0" collapsed="false">
      <c r="A240" s="2" t="n">
        <v>29</v>
      </c>
      <c r="B240" s="2" t="s">
        <v>194</v>
      </c>
      <c r="C240" s="2" t="s">
        <v>337</v>
      </c>
      <c r="D240" s="8" t="n">
        <v>46125</v>
      </c>
      <c r="E240" s="2" t="n">
        <v>34.91</v>
      </c>
      <c r="F240" s="2" t="str">
        <f aca="false">IF(E240&gt;45,"Overallocated",IF(E240&lt;30,"Underutilized","OK"))</f>
        <v>OK</v>
      </c>
    </row>
    <row r="241" customFormat="false" ht="15" hidden="false" customHeight="false" outlineLevel="0" collapsed="false">
      <c r="A241" s="2" t="n">
        <v>30</v>
      </c>
      <c r="B241" s="2" t="s">
        <v>116</v>
      </c>
      <c r="C241" s="2" t="s">
        <v>338</v>
      </c>
      <c r="D241" s="8" t="n">
        <v>46125</v>
      </c>
      <c r="E241" s="2" t="n">
        <v>39.97</v>
      </c>
      <c r="F241" s="2" t="str">
        <f aca="false">IF(E241&gt;45,"Overallocated",IF(E241&lt;30,"Underutilized","OK"))</f>
        <v>OK</v>
      </c>
    </row>
    <row r="242" customFormat="false" ht="15" hidden="false" customHeight="false" outlineLevel="0" collapsed="false">
      <c r="A242" s="2" t="n">
        <v>31</v>
      </c>
      <c r="B242" s="2" t="s">
        <v>204</v>
      </c>
      <c r="C242" s="2" t="s">
        <v>335</v>
      </c>
      <c r="D242" s="8" t="n">
        <v>46125</v>
      </c>
      <c r="E242" s="2" t="n">
        <v>35.96</v>
      </c>
      <c r="F242" s="2" t="str">
        <f aca="false">IF(E242&gt;45,"Overallocated",IF(E242&lt;30,"Underutilized","OK"))</f>
        <v>OK</v>
      </c>
    </row>
    <row r="243" customFormat="false" ht="15" hidden="false" customHeight="false" outlineLevel="0" collapsed="false">
      <c r="A243" s="2" t="n">
        <v>32</v>
      </c>
      <c r="B243" s="2" t="s">
        <v>267</v>
      </c>
      <c r="C243" s="2" t="s">
        <v>335</v>
      </c>
      <c r="D243" s="8" t="n">
        <v>46125</v>
      </c>
      <c r="E243" s="2" t="n">
        <v>35.24</v>
      </c>
      <c r="F243" s="2" t="str">
        <f aca="false">IF(E243&gt;45,"Overallocated",IF(E243&lt;30,"Underutilized","OK"))</f>
        <v>OK</v>
      </c>
    </row>
    <row r="244" customFormat="false" ht="15" hidden="false" customHeight="false" outlineLevel="0" collapsed="false">
      <c r="A244" s="2" t="n">
        <v>33</v>
      </c>
      <c r="B244" s="2" t="s">
        <v>135</v>
      </c>
      <c r="C244" s="2" t="s">
        <v>337</v>
      </c>
      <c r="D244" s="8" t="n">
        <v>46125</v>
      </c>
      <c r="E244" s="2" t="n">
        <v>47.1</v>
      </c>
      <c r="F244" s="2" t="str">
        <f aca="false">IF(E244&gt;45,"Overallocated",IF(E244&lt;30,"Underutilized","OK"))</f>
        <v>Overallocated</v>
      </c>
    </row>
    <row r="245" customFormat="false" ht="15" hidden="false" customHeight="false" outlineLevel="0" collapsed="false">
      <c r="A245" s="2" t="n">
        <v>34</v>
      </c>
      <c r="B245" s="2" t="s">
        <v>251</v>
      </c>
      <c r="C245" s="2" t="s">
        <v>336</v>
      </c>
      <c r="D245" s="8" t="n">
        <v>46125</v>
      </c>
      <c r="E245" s="2" t="n">
        <v>32.02</v>
      </c>
      <c r="F245" s="2" t="str">
        <f aca="false">IF(E245&gt;45,"Overallocated",IF(E245&lt;30,"Underutilized","OK"))</f>
        <v>OK</v>
      </c>
    </row>
    <row r="246" customFormat="false" ht="15" hidden="false" customHeight="false" outlineLevel="0" collapsed="false">
      <c r="A246" s="2" t="n">
        <v>35</v>
      </c>
      <c r="B246" s="2" t="s">
        <v>37</v>
      </c>
      <c r="C246" s="2" t="s">
        <v>337</v>
      </c>
      <c r="D246" s="8" t="n">
        <v>46125</v>
      </c>
      <c r="E246" s="2" t="n">
        <v>37.57</v>
      </c>
      <c r="F246" s="2" t="str">
        <f aca="false">IF(E246&gt;45,"Overallocated",IF(E246&lt;30,"Underutilized","OK"))</f>
        <v>OK</v>
      </c>
    </row>
    <row r="247" customFormat="false" ht="15" hidden="false" customHeight="false" outlineLevel="0" collapsed="false">
      <c r="A247" s="2" t="n">
        <v>36</v>
      </c>
      <c r="B247" s="2" t="s">
        <v>146</v>
      </c>
      <c r="C247" s="2" t="s">
        <v>339</v>
      </c>
      <c r="D247" s="8" t="n">
        <v>46125</v>
      </c>
      <c r="E247" s="2" t="n">
        <v>29.97</v>
      </c>
      <c r="F247" s="2" t="str">
        <f aca="false">IF(E247&gt;45,"Overallocated",IF(E247&lt;30,"Underutilized","OK"))</f>
        <v>Underutilized</v>
      </c>
    </row>
    <row r="248" customFormat="false" ht="15" hidden="false" customHeight="false" outlineLevel="0" collapsed="false">
      <c r="A248" s="2" t="n">
        <v>37</v>
      </c>
      <c r="B248" s="2" t="s">
        <v>175</v>
      </c>
      <c r="C248" s="2" t="s">
        <v>335</v>
      </c>
      <c r="D248" s="8" t="n">
        <v>46125</v>
      </c>
      <c r="E248" s="2" t="n">
        <v>41.04</v>
      </c>
      <c r="F248" s="2" t="str">
        <f aca="false">IF(E248&gt;45,"Overallocated",IF(E248&lt;30,"Underutilized","OK"))</f>
        <v>OK</v>
      </c>
    </row>
    <row r="249" customFormat="false" ht="15" hidden="false" customHeight="false" outlineLevel="0" collapsed="false">
      <c r="A249" s="2" t="n">
        <v>38</v>
      </c>
      <c r="B249" s="2" t="s">
        <v>121</v>
      </c>
      <c r="C249" s="2" t="s">
        <v>335</v>
      </c>
      <c r="D249" s="8" t="n">
        <v>46125</v>
      </c>
      <c r="E249" s="2" t="n">
        <v>33.69</v>
      </c>
      <c r="F249" s="2" t="str">
        <f aca="false">IF(E249&gt;45,"Overallocated",IF(E249&lt;30,"Underutilized","OK"))</f>
        <v>OK</v>
      </c>
    </row>
    <row r="250" customFormat="false" ht="15" hidden="false" customHeight="false" outlineLevel="0" collapsed="false">
      <c r="A250" s="2" t="n">
        <v>39</v>
      </c>
      <c r="B250" s="2" t="s">
        <v>198</v>
      </c>
      <c r="C250" s="2" t="s">
        <v>336</v>
      </c>
      <c r="D250" s="8" t="n">
        <v>46125</v>
      </c>
      <c r="E250" s="2" t="n">
        <v>48.9</v>
      </c>
      <c r="F250" s="2" t="str">
        <f aca="false">IF(E250&gt;45,"Overallocated",IF(E250&lt;30,"Underutilized","OK"))</f>
        <v>Overallocated</v>
      </c>
    </row>
    <row r="251" customFormat="false" ht="15" hidden="false" customHeight="false" outlineLevel="0" collapsed="false">
      <c r="A251" s="2" t="n">
        <v>40</v>
      </c>
      <c r="B251" s="2" t="s">
        <v>201</v>
      </c>
      <c r="C251" s="2" t="s">
        <v>339</v>
      </c>
      <c r="D251" s="8" t="n">
        <v>46125</v>
      </c>
      <c r="E251" s="2" t="n">
        <v>46.96</v>
      </c>
      <c r="F251" s="2" t="str">
        <f aca="false">IF(E251&gt;45,"Overallocated",IF(E251&lt;30,"Underutilized","OK"))</f>
        <v>Overallocated</v>
      </c>
    </row>
    <row r="252" customFormat="false" ht="15" hidden="false" customHeight="false" outlineLevel="0" collapsed="false">
      <c r="A252" s="2" t="n">
        <v>41</v>
      </c>
      <c r="B252" s="2" t="s">
        <v>92</v>
      </c>
      <c r="C252" s="2" t="s">
        <v>336</v>
      </c>
      <c r="D252" s="8" t="n">
        <v>46125</v>
      </c>
      <c r="E252" s="2" t="n">
        <v>48.71</v>
      </c>
      <c r="F252" s="2" t="str">
        <f aca="false">IF(E252&gt;45,"Overallocated",IF(E252&lt;30,"Underutilized","OK"))</f>
        <v>Overallocated</v>
      </c>
    </row>
    <row r="253" customFormat="false" ht="15" hidden="false" customHeight="false" outlineLevel="0" collapsed="false">
      <c r="A253" s="2" t="n">
        <v>42</v>
      </c>
      <c r="B253" s="2" t="s">
        <v>165</v>
      </c>
      <c r="C253" s="2" t="s">
        <v>340</v>
      </c>
      <c r="D253" s="8" t="n">
        <v>46125</v>
      </c>
      <c r="E253" s="2" t="n">
        <v>49.22</v>
      </c>
      <c r="F253" s="2" t="str">
        <f aca="false">IF(E253&gt;45,"Overallocated",IF(E253&lt;30,"Underutilized","OK"))</f>
        <v>Overallocated</v>
      </c>
    </row>
    <row r="254" customFormat="false" ht="15" hidden="false" customHeight="false" outlineLevel="0" collapsed="false">
      <c r="A254" s="2" t="n">
        <v>43</v>
      </c>
      <c r="B254" s="2" t="s">
        <v>118</v>
      </c>
      <c r="C254" s="2" t="s">
        <v>337</v>
      </c>
      <c r="D254" s="8" t="n">
        <v>46125</v>
      </c>
      <c r="E254" s="2" t="n">
        <v>50.67</v>
      </c>
      <c r="F254" s="2" t="str">
        <f aca="false">IF(E254&gt;45,"Overallocated",IF(E254&lt;30,"Underutilized","OK"))</f>
        <v>Overallocated</v>
      </c>
    </row>
    <row r="255" customFormat="false" ht="15" hidden="false" customHeight="false" outlineLevel="0" collapsed="false">
      <c r="A255" s="2" t="n">
        <v>44</v>
      </c>
      <c r="B255" s="2" t="s">
        <v>138</v>
      </c>
      <c r="C255" s="2" t="s">
        <v>335</v>
      </c>
      <c r="D255" s="8" t="n">
        <v>46125</v>
      </c>
      <c r="E255" s="2" t="n">
        <v>42.7</v>
      </c>
      <c r="F255" s="2" t="str">
        <f aca="false">IF(E255&gt;45,"Overallocated",IF(E255&lt;30,"Underutilized","OK"))</f>
        <v>OK</v>
      </c>
    </row>
    <row r="256" customFormat="false" ht="15" hidden="false" customHeight="false" outlineLevel="0" collapsed="false">
      <c r="A256" s="2" t="n">
        <v>45</v>
      </c>
      <c r="B256" s="2" t="s">
        <v>113</v>
      </c>
      <c r="C256" s="2" t="s">
        <v>337</v>
      </c>
      <c r="D256" s="8" t="n">
        <v>46125</v>
      </c>
      <c r="E256" s="2" t="n">
        <v>41.29</v>
      </c>
      <c r="F256" s="2" t="str">
        <f aca="false">IF(E256&gt;45,"Overallocated",IF(E256&lt;30,"Underutilized","OK"))</f>
        <v>OK</v>
      </c>
    </row>
    <row r="257" customFormat="false" ht="15" hidden="false" customHeight="false" outlineLevel="0" collapsed="false">
      <c r="A257" s="2" t="n">
        <v>46</v>
      </c>
      <c r="B257" s="2" t="s">
        <v>51</v>
      </c>
      <c r="C257" s="2" t="s">
        <v>336</v>
      </c>
      <c r="D257" s="8" t="n">
        <v>46125</v>
      </c>
      <c r="E257" s="2" t="n">
        <v>39.8</v>
      </c>
      <c r="F257" s="2" t="str">
        <f aca="false">IF(E257&gt;45,"Overallocated",IF(E257&lt;30,"Underutilized","OK"))</f>
        <v>OK</v>
      </c>
    </row>
    <row r="258" customFormat="false" ht="15" hidden="false" customHeight="false" outlineLevel="0" collapsed="false">
      <c r="A258" s="2" t="n">
        <v>47</v>
      </c>
      <c r="B258" s="2" t="s">
        <v>123</v>
      </c>
      <c r="C258" s="2" t="s">
        <v>335</v>
      </c>
      <c r="D258" s="8" t="n">
        <v>46125</v>
      </c>
      <c r="E258" s="2" t="n">
        <v>43.65</v>
      </c>
      <c r="F258" s="2" t="str">
        <f aca="false">IF(E258&gt;45,"Overallocated",IF(E258&lt;30,"Underutilized","OK"))</f>
        <v>OK</v>
      </c>
    </row>
    <row r="259" customFormat="false" ht="15" hidden="false" customHeight="false" outlineLevel="0" collapsed="false">
      <c r="A259" s="2" t="n">
        <v>48</v>
      </c>
      <c r="B259" s="2" t="s">
        <v>97</v>
      </c>
      <c r="C259" s="2" t="s">
        <v>336</v>
      </c>
      <c r="D259" s="8" t="n">
        <v>46125</v>
      </c>
      <c r="E259" s="2" t="n">
        <v>41.73</v>
      </c>
      <c r="F259" s="2" t="str">
        <f aca="false">IF(E259&gt;45,"Overallocated",IF(E259&lt;30,"Underutilized","OK"))</f>
        <v>OK</v>
      </c>
    </row>
    <row r="260" customFormat="false" ht="15" hidden="false" customHeight="false" outlineLevel="0" collapsed="false">
      <c r="A260" s="2" t="n">
        <v>49</v>
      </c>
      <c r="B260" s="2" t="s">
        <v>148</v>
      </c>
      <c r="C260" s="2" t="s">
        <v>336</v>
      </c>
      <c r="D260" s="8" t="n">
        <v>46125</v>
      </c>
      <c r="E260" s="2" t="n">
        <v>37.69</v>
      </c>
      <c r="F260" s="2" t="str">
        <f aca="false">IF(E260&gt;45,"Overallocated",IF(E260&lt;30,"Underutilized","OK"))</f>
        <v>OK</v>
      </c>
    </row>
    <row r="261" customFormat="false" ht="15" hidden="false" customHeight="false" outlineLevel="0" collapsed="false">
      <c r="A261" s="2" t="n">
        <v>50</v>
      </c>
      <c r="B261" s="2" t="s">
        <v>107</v>
      </c>
      <c r="C261" s="2" t="s">
        <v>335</v>
      </c>
      <c r="D261" s="8" t="n">
        <v>46125</v>
      </c>
      <c r="E261" s="2" t="n">
        <v>39.33</v>
      </c>
      <c r="F261" s="2" t="str">
        <f aca="false">IF(E261&gt;45,"Overallocated",IF(E261&lt;30,"Underutilized","OK"))</f>
        <v>OK</v>
      </c>
    </row>
    <row r="262" customFormat="false" ht="15" hidden="false" customHeight="false" outlineLevel="0" collapsed="false">
      <c r="A262" s="2" t="n">
        <v>1</v>
      </c>
      <c r="B262" s="2" t="s">
        <v>95</v>
      </c>
      <c r="C262" s="2" t="s">
        <v>335</v>
      </c>
      <c r="D262" s="8" t="n">
        <v>46132</v>
      </c>
      <c r="E262" s="2" t="n">
        <v>32.48</v>
      </c>
      <c r="F262" s="2" t="str">
        <f aca="false">IF(E262&gt;45,"Overallocated",IF(E262&lt;30,"Underutilized","OK"))</f>
        <v>OK</v>
      </c>
    </row>
    <row r="263" customFormat="false" ht="15" hidden="false" customHeight="false" outlineLevel="0" collapsed="false">
      <c r="A263" s="2" t="n">
        <v>2</v>
      </c>
      <c r="B263" s="2" t="s">
        <v>47</v>
      </c>
      <c r="C263" s="2" t="s">
        <v>336</v>
      </c>
      <c r="D263" s="8" t="n">
        <v>46132</v>
      </c>
      <c r="E263" s="2" t="n">
        <v>33.26</v>
      </c>
      <c r="F263" s="2" t="str">
        <f aca="false">IF(E263&gt;45,"Overallocated",IF(E263&lt;30,"Underutilized","OK"))</f>
        <v>OK</v>
      </c>
    </row>
    <row r="264" customFormat="false" ht="15" hidden="false" customHeight="false" outlineLevel="0" collapsed="false">
      <c r="A264" s="2" t="n">
        <v>3</v>
      </c>
      <c r="B264" s="2" t="s">
        <v>44</v>
      </c>
      <c r="C264" s="2" t="s">
        <v>337</v>
      </c>
      <c r="D264" s="8" t="n">
        <v>46132</v>
      </c>
      <c r="E264" s="2" t="n">
        <v>38.61</v>
      </c>
      <c r="F264" s="2" t="str">
        <f aca="false">IF(E264&gt;45,"Overallocated",IF(E264&lt;30,"Underutilized","OK"))</f>
        <v>OK</v>
      </c>
    </row>
    <row r="265" customFormat="false" ht="15" hidden="false" customHeight="false" outlineLevel="0" collapsed="false">
      <c r="A265" s="2" t="n">
        <v>4</v>
      </c>
      <c r="B265" s="2" t="s">
        <v>66</v>
      </c>
      <c r="C265" s="2" t="s">
        <v>336</v>
      </c>
      <c r="D265" s="8" t="n">
        <v>46132</v>
      </c>
      <c r="E265" s="2" t="n">
        <v>49.02</v>
      </c>
      <c r="F265" s="2" t="str">
        <f aca="false">IF(E265&gt;45,"Overallocated",IF(E265&lt;30,"Underutilized","OK"))</f>
        <v>Overallocated</v>
      </c>
    </row>
    <row r="266" customFormat="false" ht="15" hidden="false" customHeight="false" outlineLevel="0" collapsed="false">
      <c r="A266" s="2" t="n">
        <v>5</v>
      </c>
      <c r="B266" s="2" t="s">
        <v>57</v>
      </c>
      <c r="C266" s="2" t="s">
        <v>337</v>
      </c>
      <c r="D266" s="8" t="n">
        <v>46132</v>
      </c>
      <c r="E266" s="2" t="n">
        <v>25.83</v>
      </c>
      <c r="F266" s="2" t="str">
        <f aca="false">IF(E266&gt;45,"Overallocated",IF(E266&lt;30,"Underutilized","OK"))</f>
        <v>Underutilized</v>
      </c>
    </row>
    <row r="267" customFormat="false" ht="15" hidden="false" customHeight="false" outlineLevel="0" collapsed="false">
      <c r="A267" s="2" t="n">
        <v>6</v>
      </c>
      <c r="B267" s="2" t="s">
        <v>41</v>
      </c>
      <c r="C267" s="2" t="s">
        <v>336</v>
      </c>
      <c r="D267" s="8" t="n">
        <v>46132</v>
      </c>
      <c r="E267" s="2" t="n">
        <v>31.68</v>
      </c>
      <c r="F267" s="2" t="str">
        <f aca="false">IF(E267&gt;45,"Overallocated",IF(E267&lt;30,"Underutilized","OK"))</f>
        <v>OK</v>
      </c>
    </row>
    <row r="268" customFormat="false" ht="15" hidden="false" customHeight="false" outlineLevel="0" collapsed="false">
      <c r="A268" s="2" t="n">
        <v>7</v>
      </c>
      <c r="B268" s="2" t="s">
        <v>192</v>
      </c>
      <c r="C268" s="2" t="s">
        <v>336</v>
      </c>
      <c r="D268" s="8" t="n">
        <v>46132</v>
      </c>
      <c r="E268" s="2" t="n">
        <v>39.48</v>
      </c>
      <c r="F268" s="2" t="str">
        <f aca="false">IF(E268&gt;45,"Overallocated",IF(E268&lt;30,"Underutilized","OK"))</f>
        <v>OK</v>
      </c>
    </row>
    <row r="269" customFormat="false" ht="15" hidden="false" customHeight="false" outlineLevel="0" collapsed="false">
      <c r="A269" s="2" t="n">
        <v>8</v>
      </c>
      <c r="B269" s="2" t="s">
        <v>99</v>
      </c>
      <c r="C269" s="2" t="s">
        <v>336</v>
      </c>
      <c r="D269" s="8" t="n">
        <v>46132</v>
      </c>
      <c r="E269" s="2" t="n">
        <v>34.07</v>
      </c>
      <c r="F269" s="2" t="str">
        <f aca="false">IF(E269&gt;45,"Overallocated",IF(E269&lt;30,"Underutilized","OK"))</f>
        <v>OK</v>
      </c>
    </row>
    <row r="270" customFormat="false" ht="15" hidden="false" customHeight="false" outlineLevel="0" collapsed="false">
      <c r="A270" s="2" t="n">
        <v>9</v>
      </c>
      <c r="B270" s="2" t="s">
        <v>229</v>
      </c>
      <c r="C270" s="2" t="s">
        <v>335</v>
      </c>
      <c r="D270" s="8" t="n">
        <v>46132</v>
      </c>
      <c r="E270" s="2" t="n">
        <v>34.89</v>
      </c>
      <c r="F270" s="2" t="str">
        <f aca="false">IF(E270&gt;45,"Overallocated",IF(E270&lt;30,"Underutilized","OK"))</f>
        <v>OK</v>
      </c>
    </row>
    <row r="271" customFormat="false" ht="15" hidden="false" customHeight="false" outlineLevel="0" collapsed="false">
      <c r="A271" s="2" t="n">
        <v>10</v>
      </c>
      <c r="B271" s="2" t="s">
        <v>222</v>
      </c>
      <c r="C271" s="2" t="s">
        <v>337</v>
      </c>
      <c r="D271" s="8" t="n">
        <v>46132</v>
      </c>
      <c r="E271" s="2" t="n">
        <v>38.76</v>
      </c>
      <c r="F271" s="2" t="str">
        <f aca="false">IF(E271&gt;45,"Overallocated",IF(E271&lt;30,"Underutilized","OK"))</f>
        <v>OK</v>
      </c>
    </row>
    <row r="272" customFormat="false" ht="15" hidden="false" customHeight="false" outlineLevel="0" collapsed="false">
      <c r="A272" s="2" t="n">
        <v>11</v>
      </c>
      <c r="B272" s="2" t="s">
        <v>286</v>
      </c>
      <c r="C272" s="2" t="s">
        <v>337</v>
      </c>
      <c r="D272" s="8" t="n">
        <v>46132</v>
      </c>
      <c r="E272" s="2" t="n">
        <v>27.72</v>
      </c>
      <c r="F272" s="2" t="str">
        <f aca="false">IF(E272&gt;45,"Overallocated",IF(E272&lt;30,"Underutilized","OK"))</f>
        <v>Underutilized</v>
      </c>
    </row>
    <row r="273" customFormat="false" ht="15" hidden="false" customHeight="false" outlineLevel="0" collapsed="false">
      <c r="A273" s="2" t="n">
        <v>12</v>
      </c>
      <c r="B273" s="2" t="s">
        <v>188</v>
      </c>
      <c r="C273" s="2" t="s">
        <v>337</v>
      </c>
      <c r="D273" s="8" t="n">
        <v>46132</v>
      </c>
      <c r="E273" s="2" t="n">
        <v>44.43</v>
      </c>
      <c r="F273" s="2" t="str">
        <f aca="false">IF(E273&gt;45,"Overallocated",IF(E273&lt;30,"Underutilized","OK"))</f>
        <v>OK</v>
      </c>
    </row>
    <row r="274" customFormat="false" ht="15" hidden="false" customHeight="false" outlineLevel="0" collapsed="false">
      <c r="A274" s="2" t="n">
        <v>13</v>
      </c>
      <c r="B274" s="2" t="s">
        <v>131</v>
      </c>
      <c r="C274" s="2" t="s">
        <v>338</v>
      </c>
      <c r="D274" s="8" t="n">
        <v>46132</v>
      </c>
      <c r="E274" s="2" t="n">
        <v>52.26</v>
      </c>
      <c r="F274" s="2" t="str">
        <f aca="false">IF(E274&gt;45,"Overallocated",IF(E274&lt;30,"Underutilized","OK"))</f>
        <v>Overallocated</v>
      </c>
    </row>
    <row r="275" customFormat="false" ht="15" hidden="false" customHeight="false" outlineLevel="0" collapsed="false">
      <c r="A275" s="2" t="n">
        <v>14</v>
      </c>
      <c r="B275" s="2" t="s">
        <v>249</v>
      </c>
      <c r="C275" s="2" t="s">
        <v>335</v>
      </c>
      <c r="D275" s="8" t="n">
        <v>46132</v>
      </c>
      <c r="E275" s="2" t="n">
        <v>48.91</v>
      </c>
      <c r="F275" s="2" t="str">
        <f aca="false">IF(E275&gt;45,"Overallocated",IF(E275&lt;30,"Underutilized","OK"))</f>
        <v>Overallocated</v>
      </c>
    </row>
    <row r="276" customFormat="false" ht="15" hidden="false" customHeight="false" outlineLevel="0" collapsed="false">
      <c r="A276" s="2" t="n">
        <v>15</v>
      </c>
      <c r="B276" s="2" t="s">
        <v>153</v>
      </c>
      <c r="C276" s="2" t="s">
        <v>339</v>
      </c>
      <c r="D276" s="8" t="n">
        <v>46132</v>
      </c>
      <c r="E276" s="2" t="n">
        <v>34.18</v>
      </c>
      <c r="F276" s="2" t="str">
        <f aca="false">IF(E276&gt;45,"Overallocated",IF(E276&lt;30,"Underutilized","OK"))</f>
        <v>OK</v>
      </c>
    </row>
    <row r="277" customFormat="false" ht="15" hidden="false" customHeight="false" outlineLevel="0" collapsed="false">
      <c r="A277" s="2" t="n">
        <v>17</v>
      </c>
      <c r="B277" s="2" t="s">
        <v>87</v>
      </c>
      <c r="C277" s="2" t="s">
        <v>337</v>
      </c>
      <c r="D277" s="8" t="n">
        <v>46132</v>
      </c>
      <c r="E277" s="2" t="n">
        <v>39.23</v>
      </c>
      <c r="F277" s="2" t="str">
        <f aca="false">IF(E277&gt;45,"Overallocated",IF(E277&lt;30,"Underutilized","OK"))</f>
        <v>OK</v>
      </c>
    </row>
    <row r="278" customFormat="false" ht="15" hidden="false" customHeight="false" outlineLevel="0" collapsed="false">
      <c r="A278" s="2" t="n">
        <v>18</v>
      </c>
      <c r="B278" s="2" t="s">
        <v>151</v>
      </c>
      <c r="C278" s="2" t="s">
        <v>336</v>
      </c>
      <c r="D278" s="8" t="n">
        <v>46132</v>
      </c>
      <c r="E278" s="2" t="n">
        <v>39.38</v>
      </c>
      <c r="F278" s="2" t="str">
        <f aca="false">IF(E278&gt;45,"Overallocated",IF(E278&lt;30,"Underutilized","OK"))</f>
        <v>OK</v>
      </c>
    </row>
    <row r="279" customFormat="false" ht="15" hidden="false" customHeight="false" outlineLevel="0" collapsed="false">
      <c r="A279" s="2" t="n">
        <v>19</v>
      </c>
      <c r="B279" s="2" t="s">
        <v>90</v>
      </c>
      <c r="C279" s="2" t="s">
        <v>338</v>
      </c>
      <c r="D279" s="8" t="n">
        <v>46132</v>
      </c>
      <c r="E279" s="2" t="n">
        <v>39.75</v>
      </c>
      <c r="F279" s="2" t="str">
        <f aca="false">IF(E279&gt;45,"Overallocated",IF(E279&lt;30,"Underutilized","OK"))</f>
        <v>OK</v>
      </c>
    </row>
    <row r="280" customFormat="false" ht="15" hidden="false" customHeight="false" outlineLevel="0" collapsed="false">
      <c r="A280" s="2" t="n">
        <v>20</v>
      </c>
      <c r="B280" s="2" t="s">
        <v>103</v>
      </c>
      <c r="C280" s="2" t="s">
        <v>335</v>
      </c>
      <c r="D280" s="8" t="n">
        <v>46132</v>
      </c>
      <c r="E280" s="2" t="n">
        <v>35.66</v>
      </c>
      <c r="F280" s="2" t="str">
        <f aca="false">IF(E280&gt;45,"Overallocated",IF(E280&lt;30,"Underutilized","OK"))</f>
        <v>OK</v>
      </c>
    </row>
    <row r="281" customFormat="false" ht="15" hidden="false" customHeight="false" outlineLevel="0" collapsed="false">
      <c r="A281" s="2" t="n">
        <v>22</v>
      </c>
      <c r="B281" s="2" t="s">
        <v>155</v>
      </c>
      <c r="C281" s="2" t="s">
        <v>336</v>
      </c>
      <c r="D281" s="8" t="n">
        <v>46132</v>
      </c>
      <c r="E281" s="2" t="n">
        <v>39.67</v>
      </c>
      <c r="F281" s="2" t="str">
        <f aca="false">IF(E281&gt;45,"Overallocated",IF(E281&lt;30,"Underutilized","OK"))</f>
        <v>OK</v>
      </c>
    </row>
    <row r="282" customFormat="false" ht="15" hidden="false" customHeight="false" outlineLevel="0" collapsed="false">
      <c r="A282" s="2" t="n">
        <v>23</v>
      </c>
      <c r="B282" s="2" t="s">
        <v>105</v>
      </c>
      <c r="C282" s="2" t="s">
        <v>336</v>
      </c>
      <c r="D282" s="8" t="n">
        <v>46132</v>
      </c>
      <c r="E282" s="2" t="n">
        <v>32.83</v>
      </c>
      <c r="F282" s="2" t="str">
        <f aca="false">IF(E282&gt;45,"Overallocated",IF(E282&lt;30,"Underutilized","OK"))</f>
        <v>OK</v>
      </c>
    </row>
    <row r="283" customFormat="false" ht="15" hidden="false" customHeight="false" outlineLevel="0" collapsed="false">
      <c r="A283" s="2" t="n">
        <v>24</v>
      </c>
      <c r="B283" s="2" t="s">
        <v>100</v>
      </c>
      <c r="C283" s="2" t="s">
        <v>338</v>
      </c>
      <c r="D283" s="8" t="n">
        <v>46132</v>
      </c>
      <c r="E283" s="2" t="n">
        <v>41.94</v>
      </c>
      <c r="F283" s="2" t="str">
        <f aca="false">IF(E283&gt;45,"Overallocated",IF(E283&lt;30,"Underutilized","OK"))</f>
        <v>OK</v>
      </c>
    </row>
    <row r="284" customFormat="false" ht="15" hidden="false" customHeight="false" outlineLevel="0" collapsed="false">
      <c r="A284" s="2" t="n">
        <v>25</v>
      </c>
      <c r="B284" s="2" t="s">
        <v>125</v>
      </c>
      <c r="C284" s="2" t="s">
        <v>339</v>
      </c>
      <c r="D284" s="8" t="n">
        <v>46132</v>
      </c>
      <c r="E284" s="2" t="n">
        <v>39.46</v>
      </c>
      <c r="F284" s="2" t="str">
        <f aca="false">IF(E284&gt;45,"Overallocated",IF(E284&lt;30,"Underutilized","OK"))</f>
        <v>OK</v>
      </c>
    </row>
    <row r="285" customFormat="false" ht="15" hidden="false" customHeight="false" outlineLevel="0" collapsed="false">
      <c r="A285" s="2" t="n">
        <v>26</v>
      </c>
      <c r="B285" s="2" t="s">
        <v>162</v>
      </c>
      <c r="C285" s="2" t="s">
        <v>335</v>
      </c>
      <c r="D285" s="8" t="n">
        <v>46132</v>
      </c>
      <c r="E285" s="2" t="n">
        <v>39.2</v>
      </c>
      <c r="F285" s="2" t="str">
        <f aca="false">IF(E285&gt;45,"Overallocated",IF(E285&lt;30,"Underutilized","OK"))</f>
        <v>OK</v>
      </c>
    </row>
    <row r="286" customFormat="false" ht="15" hidden="false" customHeight="false" outlineLevel="0" collapsed="false">
      <c r="A286" s="2" t="n">
        <v>27</v>
      </c>
      <c r="B286" s="2" t="s">
        <v>111</v>
      </c>
      <c r="C286" s="2" t="s">
        <v>338</v>
      </c>
      <c r="D286" s="8" t="n">
        <v>46132</v>
      </c>
      <c r="E286" s="2" t="n">
        <v>36</v>
      </c>
      <c r="F286" s="2" t="str">
        <f aca="false">IF(E286&gt;45,"Overallocated",IF(E286&lt;30,"Underutilized","OK"))</f>
        <v>OK</v>
      </c>
    </row>
    <row r="287" customFormat="false" ht="15" hidden="false" customHeight="false" outlineLevel="0" collapsed="false">
      <c r="A287" s="2" t="n">
        <v>28</v>
      </c>
      <c r="B287" s="2" t="s">
        <v>160</v>
      </c>
      <c r="C287" s="2" t="s">
        <v>340</v>
      </c>
      <c r="D287" s="8" t="n">
        <v>46132</v>
      </c>
      <c r="E287" s="2" t="n">
        <v>37.89</v>
      </c>
      <c r="F287" s="2" t="str">
        <f aca="false">IF(E287&gt;45,"Overallocated",IF(E287&lt;30,"Underutilized","OK"))</f>
        <v>OK</v>
      </c>
    </row>
    <row r="288" customFormat="false" ht="15" hidden="false" customHeight="false" outlineLevel="0" collapsed="false">
      <c r="A288" s="2" t="n">
        <v>29</v>
      </c>
      <c r="B288" s="2" t="s">
        <v>194</v>
      </c>
      <c r="C288" s="2" t="s">
        <v>337</v>
      </c>
      <c r="D288" s="8" t="n">
        <v>46132</v>
      </c>
      <c r="E288" s="2" t="n">
        <v>46.87</v>
      </c>
      <c r="F288" s="2" t="str">
        <f aca="false">IF(E288&gt;45,"Overallocated",IF(E288&lt;30,"Underutilized","OK"))</f>
        <v>Overallocated</v>
      </c>
    </row>
    <row r="289" customFormat="false" ht="15" hidden="false" customHeight="false" outlineLevel="0" collapsed="false">
      <c r="A289" s="2" t="n">
        <v>30</v>
      </c>
      <c r="B289" s="2" t="s">
        <v>116</v>
      </c>
      <c r="C289" s="2" t="s">
        <v>338</v>
      </c>
      <c r="D289" s="8" t="n">
        <v>46132</v>
      </c>
      <c r="E289" s="2" t="n">
        <v>28.32</v>
      </c>
      <c r="F289" s="2" t="str">
        <f aca="false">IF(E289&gt;45,"Overallocated",IF(E289&lt;30,"Underutilized","OK"))</f>
        <v>Underutilized</v>
      </c>
    </row>
    <row r="290" customFormat="false" ht="15" hidden="false" customHeight="false" outlineLevel="0" collapsed="false">
      <c r="A290" s="2" t="n">
        <v>31</v>
      </c>
      <c r="B290" s="2" t="s">
        <v>204</v>
      </c>
      <c r="C290" s="2" t="s">
        <v>335</v>
      </c>
      <c r="D290" s="8" t="n">
        <v>46132</v>
      </c>
      <c r="E290" s="2" t="n">
        <v>52.45</v>
      </c>
      <c r="F290" s="2" t="str">
        <f aca="false">IF(E290&gt;45,"Overallocated",IF(E290&lt;30,"Underutilized","OK"))</f>
        <v>Overallocated</v>
      </c>
    </row>
    <row r="291" customFormat="false" ht="15" hidden="false" customHeight="false" outlineLevel="0" collapsed="false">
      <c r="A291" s="2" t="n">
        <v>33</v>
      </c>
      <c r="B291" s="2" t="s">
        <v>135</v>
      </c>
      <c r="C291" s="2" t="s">
        <v>337</v>
      </c>
      <c r="D291" s="8" t="n">
        <v>46132</v>
      </c>
      <c r="E291" s="2" t="n">
        <v>48.97</v>
      </c>
      <c r="F291" s="2" t="str">
        <f aca="false">IF(E291&gt;45,"Overallocated",IF(E291&lt;30,"Underutilized","OK"))</f>
        <v>Overallocated</v>
      </c>
    </row>
    <row r="292" customFormat="false" ht="15" hidden="false" customHeight="false" outlineLevel="0" collapsed="false">
      <c r="A292" s="2" t="n">
        <v>34</v>
      </c>
      <c r="B292" s="2" t="s">
        <v>251</v>
      </c>
      <c r="C292" s="2" t="s">
        <v>336</v>
      </c>
      <c r="D292" s="8" t="n">
        <v>46132</v>
      </c>
      <c r="E292" s="2" t="n">
        <v>40.2</v>
      </c>
      <c r="F292" s="2" t="str">
        <f aca="false">IF(E292&gt;45,"Overallocated",IF(E292&lt;30,"Underutilized","OK"))</f>
        <v>OK</v>
      </c>
    </row>
    <row r="293" customFormat="false" ht="15" hidden="false" customHeight="false" outlineLevel="0" collapsed="false">
      <c r="A293" s="2" t="n">
        <v>35</v>
      </c>
      <c r="B293" s="2" t="s">
        <v>37</v>
      </c>
      <c r="C293" s="2" t="s">
        <v>337</v>
      </c>
      <c r="D293" s="8" t="n">
        <v>46132</v>
      </c>
      <c r="E293" s="2" t="n">
        <v>34.63</v>
      </c>
      <c r="F293" s="2" t="str">
        <f aca="false">IF(E293&gt;45,"Overallocated",IF(E293&lt;30,"Underutilized","OK"))</f>
        <v>OK</v>
      </c>
    </row>
    <row r="294" customFormat="false" ht="15" hidden="false" customHeight="false" outlineLevel="0" collapsed="false">
      <c r="A294" s="2" t="n">
        <v>36</v>
      </c>
      <c r="B294" s="2" t="s">
        <v>146</v>
      </c>
      <c r="C294" s="2" t="s">
        <v>339</v>
      </c>
      <c r="D294" s="8" t="n">
        <v>46132</v>
      </c>
      <c r="E294" s="2" t="n">
        <v>36.67</v>
      </c>
      <c r="F294" s="2" t="str">
        <f aca="false">IF(E294&gt;45,"Overallocated",IF(E294&lt;30,"Underutilized","OK"))</f>
        <v>OK</v>
      </c>
    </row>
    <row r="295" customFormat="false" ht="15" hidden="false" customHeight="false" outlineLevel="0" collapsed="false">
      <c r="A295" s="2" t="n">
        <v>37</v>
      </c>
      <c r="B295" s="2" t="s">
        <v>175</v>
      </c>
      <c r="C295" s="2" t="s">
        <v>335</v>
      </c>
      <c r="D295" s="8" t="n">
        <v>46132</v>
      </c>
      <c r="E295" s="2" t="n">
        <v>42.39</v>
      </c>
      <c r="F295" s="2" t="str">
        <f aca="false">IF(E295&gt;45,"Overallocated",IF(E295&lt;30,"Underutilized","OK"))</f>
        <v>OK</v>
      </c>
    </row>
    <row r="296" customFormat="false" ht="15" hidden="false" customHeight="false" outlineLevel="0" collapsed="false">
      <c r="A296" s="2" t="n">
        <v>38</v>
      </c>
      <c r="B296" s="2" t="s">
        <v>121</v>
      </c>
      <c r="C296" s="2" t="s">
        <v>335</v>
      </c>
      <c r="D296" s="8" t="n">
        <v>46132</v>
      </c>
      <c r="E296" s="2" t="n">
        <v>51.92</v>
      </c>
      <c r="F296" s="2" t="str">
        <f aca="false">IF(E296&gt;45,"Overallocated",IF(E296&lt;30,"Underutilized","OK"))</f>
        <v>Overallocated</v>
      </c>
    </row>
    <row r="297" customFormat="false" ht="15" hidden="false" customHeight="false" outlineLevel="0" collapsed="false">
      <c r="A297" s="2" t="n">
        <v>39</v>
      </c>
      <c r="B297" s="2" t="s">
        <v>198</v>
      </c>
      <c r="C297" s="2" t="s">
        <v>336</v>
      </c>
      <c r="D297" s="8" t="n">
        <v>46132</v>
      </c>
      <c r="E297" s="2" t="n">
        <v>49.9</v>
      </c>
      <c r="F297" s="2" t="str">
        <f aca="false">IF(E297&gt;45,"Overallocated",IF(E297&lt;30,"Underutilized","OK"))</f>
        <v>Overallocated</v>
      </c>
    </row>
    <row r="298" customFormat="false" ht="15" hidden="false" customHeight="false" outlineLevel="0" collapsed="false">
      <c r="A298" s="2" t="n">
        <v>40</v>
      </c>
      <c r="B298" s="2" t="s">
        <v>201</v>
      </c>
      <c r="C298" s="2" t="s">
        <v>339</v>
      </c>
      <c r="D298" s="8" t="n">
        <v>46132</v>
      </c>
      <c r="E298" s="2" t="n">
        <v>43.2</v>
      </c>
      <c r="F298" s="2" t="str">
        <f aca="false">IF(E298&gt;45,"Overallocated",IF(E298&lt;30,"Underutilized","OK"))</f>
        <v>OK</v>
      </c>
    </row>
    <row r="299" customFormat="false" ht="15" hidden="false" customHeight="false" outlineLevel="0" collapsed="false">
      <c r="A299" s="2" t="n">
        <v>41</v>
      </c>
      <c r="B299" s="2" t="s">
        <v>92</v>
      </c>
      <c r="C299" s="2" t="s">
        <v>336</v>
      </c>
      <c r="D299" s="8" t="n">
        <v>46132</v>
      </c>
      <c r="E299" s="2" t="n">
        <v>41.3</v>
      </c>
      <c r="F299" s="2" t="str">
        <f aca="false">IF(E299&gt;45,"Overallocated",IF(E299&lt;30,"Underutilized","OK"))</f>
        <v>OK</v>
      </c>
    </row>
    <row r="300" customFormat="false" ht="15" hidden="false" customHeight="false" outlineLevel="0" collapsed="false">
      <c r="A300" s="2" t="n">
        <v>42</v>
      </c>
      <c r="B300" s="2" t="s">
        <v>165</v>
      </c>
      <c r="C300" s="2" t="s">
        <v>340</v>
      </c>
      <c r="D300" s="8" t="n">
        <v>46132</v>
      </c>
      <c r="E300" s="2" t="n">
        <v>39.64</v>
      </c>
      <c r="F300" s="2" t="str">
        <f aca="false">IF(E300&gt;45,"Overallocated",IF(E300&lt;30,"Underutilized","OK"))</f>
        <v>OK</v>
      </c>
    </row>
    <row r="301" customFormat="false" ht="15" hidden="false" customHeight="false" outlineLevel="0" collapsed="false">
      <c r="A301" s="2" t="n">
        <v>43</v>
      </c>
      <c r="B301" s="2" t="s">
        <v>118</v>
      </c>
      <c r="C301" s="2" t="s">
        <v>337</v>
      </c>
      <c r="D301" s="8" t="n">
        <v>46132</v>
      </c>
      <c r="E301" s="2" t="n">
        <v>47.4</v>
      </c>
      <c r="F301" s="2" t="str">
        <f aca="false">IF(E301&gt;45,"Overallocated",IF(E301&lt;30,"Underutilized","OK"))</f>
        <v>Overallocated</v>
      </c>
    </row>
    <row r="302" customFormat="false" ht="15" hidden="false" customHeight="false" outlineLevel="0" collapsed="false">
      <c r="A302" s="2" t="n">
        <v>44</v>
      </c>
      <c r="B302" s="2" t="s">
        <v>138</v>
      </c>
      <c r="C302" s="2" t="s">
        <v>335</v>
      </c>
      <c r="D302" s="8" t="n">
        <v>46132</v>
      </c>
      <c r="E302" s="2" t="n">
        <v>38.37</v>
      </c>
      <c r="F302" s="2" t="str">
        <f aca="false">IF(E302&gt;45,"Overallocated",IF(E302&lt;30,"Underutilized","OK"))</f>
        <v>OK</v>
      </c>
    </row>
    <row r="303" customFormat="false" ht="15" hidden="false" customHeight="false" outlineLevel="0" collapsed="false">
      <c r="A303" s="2" t="n">
        <v>45</v>
      </c>
      <c r="B303" s="2" t="s">
        <v>113</v>
      </c>
      <c r="C303" s="2" t="s">
        <v>337</v>
      </c>
      <c r="D303" s="8" t="n">
        <v>46132</v>
      </c>
      <c r="E303" s="2" t="n">
        <v>32.28</v>
      </c>
      <c r="F303" s="2" t="str">
        <f aca="false">IF(E303&gt;45,"Overallocated",IF(E303&lt;30,"Underutilized","OK"))</f>
        <v>OK</v>
      </c>
    </row>
    <row r="304" customFormat="false" ht="15" hidden="false" customHeight="false" outlineLevel="0" collapsed="false">
      <c r="A304" s="2" t="n">
        <v>46</v>
      </c>
      <c r="B304" s="2" t="s">
        <v>51</v>
      </c>
      <c r="C304" s="2" t="s">
        <v>336</v>
      </c>
      <c r="D304" s="8" t="n">
        <v>46132</v>
      </c>
      <c r="E304" s="2" t="n">
        <v>26.8</v>
      </c>
      <c r="F304" s="2" t="str">
        <f aca="false">IF(E304&gt;45,"Overallocated",IF(E304&lt;30,"Underutilized","OK"))</f>
        <v>Underutilized</v>
      </c>
    </row>
    <row r="305" customFormat="false" ht="15" hidden="false" customHeight="false" outlineLevel="0" collapsed="false">
      <c r="A305" s="2" t="n">
        <v>47</v>
      </c>
      <c r="B305" s="2" t="s">
        <v>123</v>
      </c>
      <c r="C305" s="2" t="s">
        <v>335</v>
      </c>
      <c r="D305" s="8" t="n">
        <v>46132</v>
      </c>
      <c r="E305" s="2" t="n">
        <v>38.5</v>
      </c>
      <c r="F305" s="2" t="str">
        <f aca="false">IF(E305&gt;45,"Overallocated",IF(E305&lt;30,"Underutilized","OK"))</f>
        <v>OK</v>
      </c>
    </row>
    <row r="306" customFormat="false" ht="15" hidden="false" customHeight="false" outlineLevel="0" collapsed="false">
      <c r="A306" s="2" t="n">
        <v>50</v>
      </c>
      <c r="B306" s="2" t="s">
        <v>107</v>
      </c>
      <c r="C306" s="2" t="s">
        <v>335</v>
      </c>
      <c r="D306" s="8" t="n">
        <v>46132</v>
      </c>
      <c r="E306" s="2" t="n">
        <v>37.34</v>
      </c>
      <c r="F306" s="2" t="str">
        <f aca="false">IF(E306&gt;45,"Overallocated",IF(E306&lt;30,"Underutilized","OK"))</f>
        <v>OK</v>
      </c>
    </row>
    <row r="307" customFormat="false" ht="15" hidden="false" customHeight="false" outlineLevel="0" collapsed="false">
      <c r="A307" s="2" t="n">
        <v>2</v>
      </c>
      <c r="B307" s="2" t="s">
        <v>47</v>
      </c>
      <c r="C307" s="2" t="s">
        <v>336</v>
      </c>
      <c r="D307" s="8" t="n">
        <v>46139</v>
      </c>
      <c r="E307" s="2" t="n">
        <v>47.99</v>
      </c>
      <c r="F307" s="2" t="str">
        <f aca="false">IF(E307&gt;45,"Overallocated",IF(E307&lt;30,"Underutilized","OK"))</f>
        <v>Overallocated</v>
      </c>
    </row>
    <row r="308" customFormat="false" ht="15" hidden="false" customHeight="false" outlineLevel="0" collapsed="false">
      <c r="A308" s="2" t="n">
        <v>3</v>
      </c>
      <c r="B308" s="2" t="s">
        <v>44</v>
      </c>
      <c r="C308" s="2" t="s">
        <v>337</v>
      </c>
      <c r="D308" s="8" t="n">
        <v>46139</v>
      </c>
      <c r="E308" s="2" t="n">
        <v>41.83</v>
      </c>
      <c r="F308" s="2" t="str">
        <f aca="false">IF(E308&gt;45,"Overallocated",IF(E308&lt;30,"Underutilized","OK"))</f>
        <v>OK</v>
      </c>
    </row>
    <row r="309" customFormat="false" ht="15" hidden="false" customHeight="false" outlineLevel="0" collapsed="false">
      <c r="A309" s="2" t="n">
        <v>4</v>
      </c>
      <c r="B309" s="2" t="s">
        <v>66</v>
      </c>
      <c r="C309" s="2" t="s">
        <v>336</v>
      </c>
      <c r="D309" s="8" t="n">
        <v>46139</v>
      </c>
      <c r="E309" s="2" t="n">
        <v>44.67</v>
      </c>
      <c r="F309" s="2" t="str">
        <f aca="false">IF(E309&gt;45,"Overallocated",IF(E309&lt;30,"Underutilized","OK"))</f>
        <v>OK</v>
      </c>
    </row>
    <row r="310" customFormat="false" ht="15" hidden="false" customHeight="false" outlineLevel="0" collapsed="false">
      <c r="A310" s="2" t="n">
        <v>5</v>
      </c>
      <c r="B310" s="2" t="s">
        <v>57</v>
      </c>
      <c r="C310" s="2" t="s">
        <v>337</v>
      </c>
      <c r="D310" s="8" t="n">
        <v>46139</v>
      </c>
      <c r="E310" s="2" t="n">
        <v>41.14</v>
      </c>
      <c r="F310" s="2" t="str">
        <f aca="false">IF(E310&gt;45,"Overallocated",IF(E310&lt;30,"Underutilized","OK"))</f>
        <v>OK</v>
      </c>
    </row>
    <row r="311" customFormat="false" ht="15" hidden="false" customHeight="false" outlineLevel="0" collapsed="false">
      <c r="A311" s="2" t="n">
        <v>6</v>
      </c>
      <c r="B311" s="2" t="s">
        <v>41</v>
      </c>
      <c r="C311" s="2" t="s">
        <v>336</v>
      </c>
      <c r="D311" s="8" t="n">
        <v>46139</v>
      </c>
      <c r="E311" s="2" t="n">
        <v>37.21</v>
      </c>
      <c r="F311" s="2" t="str">
        <f aca="false">IF(E311&gt;45,"Overallocated",IF(E311&lt;30,"Underutilized","OK"))</f>
        <v>OK</v>
      </c>
    </row>
    <row r="312" customFormat="false" ht="15" hidden="false" customHeight="false" outlineLevel="0" collapsed="false">
      <c r="A312" s="2" t="n">
        <v>7</v>
      </c>
      <c r="B312" s="2" t="s">
        <v>192</v>
      </c>
      <c r="C312" s="2" t="s">
        <v>336</v>
      </c>
      <c r="D312" s="8" t="n">
        <v>46139</v>
      </c>
      <c r="E312" s="2" t="n">
        <v>39.03</v>
      </c>
      <c r="F312" s="2" t="str">
        <f aca="false">IF(E312&gt;45,"Overallocated",IF(E312&lt;30,"Underutilized","OK"))</f>
        <v>OK</v>
      </c>
    </row>
    <row r="313" customFormat="false" ht="15" hidden="false" customHeight="false" outlineLevel="0" collapsed="false">
      <c r="A313" s="2" t="n">
        <v>8</v>
      </c>
      <c r="B313" s="2" t="s">
        <v>99</v>
      </c>
      <c r="C313" s="2" t="s">
        <v>336</v>
      </c>
      <c r="D313" s="8" t="n">
        <v>46139</v>
      </c>
      <c r="E313" s="2" t="n">
        <v>37.96</v>
      </c>
      <c r="F313" s="2" t="str">
        <f aca="false">IF(E313&gt;45,"Overallocated",IF(E313&lt;30,"Underutilized","OK"))</f>
        <v>OK</v>
      </c>
    </row>
    <row r="314" customFormat="false" ht="15" hidden="false" customHeight="false" outlineLevel="0" collapsed="false">
      <c r="A314" s="2" t="n">
        <v>9</v>
      </c>
      <c r="B314" s="2" t="s">
        <v>229</v>
      </c>
      <c r="C314" s="2" t="s">
        <v>335</v>
      </c>
      <c r="D314" s="8" t="n">
        <v>46139</v>
      </c>
      <c r="E314" s="2" t="n">
        <v>37.1</v>
      </c>
      <c r="F314" s="2" t="str">
        <f aca="false">IF(E314&gt;45,"Overallocated",IF(E314&lt;30,"Underutilized","OK"))</f>
        <v>OK</v>
      </c>
    </row>
    <row r="315" customFormat="false" ht="15" hidden="false" customHeight="false" outlineLevel="0" collapsed="false">
      <c r="A315" s="2" t="n">
        <v>10</v>
      </c>
      <c r="B315" s="2" t="s">
        <v>222</v>
      </c>
      <c r="C315" s="2" t="s">
        <v>337</v>
      </c>
      <c r="D315" s="8" t="n">
        <v>46139</v>
      </c>
      <c r="E315" s="2" t="n">
        <v>34.88</v>
      </c>
      <c r="F315" s="2" t="str">
        <f aca="false">IF(E315&gt;45,"Overallocated",IF(E315&lt;30,"Underutilized","OK"))</f>
        <v>OK</v>
      </c>
    </row>
    <row r="316" customFormat="false" ht="15" hidden="false" customHeight="false" outlineLevel="0" collapsed="false">
      <c r="A316" s="2" t="n">
        <v>11</v>
      </c>
      <c r="B316" s="2" t="s">
        <v>286</v>
      </c>
      <c r="C316" s="2" t="s">
        <v>337</v>
      </c>
      <c r="D316" s="8" t="n">
        <v>46139</v>
      </c>
      <c r="E316" s="2" t="n">
        <v>45.5</v>
      </c>
      <c r="F316" s="2" t="str">
        <f aca="false">IF(E316&gt;45,"Overallocated",IF(E316&lt;30,"Underutilized","OK"))</f>
        <v>Overallocated</v>
      </c>
    </row>
    <row r="317" customFormat="false" ht="15" hidden="false" customHeight="false" outlineLevel="0" collapsed="false">
      <c r="A317" s="2" t="n">
        <v>13</v>
      </c>
      <c r="B317" s="2" t="s">
        <v>131</v>
      </c>
      <c r="C317" s="2" t="s">
        <v>338</v>
      </c>
      <c r="D317" s="8" t="n">
        <v>46139</v>
      </c>
      <c r="E317" s="2" t="n">
        <v>38.91</v>
      </c>
      <c r="F317" s="2" t="str">
        <f aca="false">IF(E317&gt;45,"Overallocated",IF(E317&lt;30,"Underutilized","OK"))</f>
        <v>OK</v>
      </c>
    </row>
    <row r="318" customFormat="false" ht="15" hidden="false" customHeight="false" outlineLevel="0" collapsed="false">
      <c r="A318" s="2" t="n">
        <v>16</v>
      </c>
      <c r="B318" s="2" t="s">
        <v>109</v>
      </c>
      <c r="C318" s="2" t="s">
        <v>339</v>
      </c>
      <c r="D318" s="8" t="n">
        <v>46139</v>
      </c>
      <c r="E318" s="2" t="n">
        <v>34.39</v>
      </c>
      <c r="F318" s="2" t="str">
        <f aca="false">IF(E318&gt;45,"Overallocated",IF(E318&lt;30,"Underutilized","OK"))</f>
        <v>OK</v>
      </c>
    </row>
    <row r="319" customFormat="false" ht="15" hidden="false" customHeight="false" outlineLevel="0" collapsed="false">
      <c r="A319" s="2" t="n">
        <v>17</v>
      </c>
      <c r="B319" s="2" t="s">
        <v>87</v>
      </c>
      <c r="C319" s="2" t="s">
        <v>337</v>
      </c>
      <c r="D319" s="8" t="n">
        <v>46139</v>
      </c>
      <c r="E319" s="2" t="n">
        <v>50.12</v>
      </c>
      <c r="F319" s="2" t="str">
        <f aca="false">IF(E319&gt;45,"Overallocated",IF(E319&lt;30,"Underutilized","OK"))</f>
        <v>Overallocated</v>
      </c>
    </row>
    <row r="320" customFormat="false" ht="15" hidden="false" customHeight="false" outlineLevel="0" collapsed="false">
      <c r="A320" s="2" t="n">
        <v>18</v>
      </c>
      <c r="B320" s="2" t="s">
        <v>151</v>
      </c>
      <c r="C320" s="2" t="s">
        <v>336</v>
      </c>
      <c r="D320" s="8" t="n">
        <v>46139</v>
      </c>
      <c r="E320" s="2" t="n">
        <v>34.26</v>
      </c>
      <c r="F320" s="2" t="str">
        <f aca="false">IF(E320&gt;45,"Overallocated",IF(E320&lt;30,"Underutilized","OK"))</f>
        <v>OK</v>
      </c>
    </row>
    <row r="321" customFormat="false" ht="15" hidden="false" customHeight="false" outlineLevel="0" collapsed="false">
      <c r="A321" s="2" t="n">
        <v>19</v>
      </c>
      <c r="B321" s="2" t="s">
        <v>90</v>
      </c>
      <c r="C321" s="2" t="s">
        <v>338</v>
      </c>
      <c r="D321" s="8" t="n">
        <v>46139</v>
      </c>
      <c r="E321" s="2" t="n">
        <v>38.19</v>
      </c>
      <c r="F321" s="2" t="str">
        <f aca="false">IF(E321&gt;45,"Overallocated",IF(E321&lt;30,"Underutilized","OK"))</f>
        <v>OK</v>
      </c>
    </row>
    <row r="322" customFormat="false" ht="15" hidden="false" customHeight="false" outlineLevel="0" collapsed="false">
      <c r="A322" s="2" t="n">
        <v>20</v>
      </c>
      <c r="B322" s="2" t="s">
        <v>103</v>
      </c>
      <c r="C322" s="2" t="s">
        <v>335</v>
      </c>
      <c r="D322" s="8" t="n">
        <v>46139</v>
      </c>
      <c r="E322" s="2" t="n">
        <v>48.45</v>
      </c>
      <c r="F322" s="2" t="str">
        <f aca="false">IF(E322&gt;45,"Overallocated",IF(E322&lt;30,"Underutilized","OK"))</f>
        <v>Overallocated</v>
      </c>
    </row>
    <row r="323" customFormat="false" ht="15" hidden="false" customHeight="false" outlineLevel="0" collapsed="false">
      <c r="A323" s="2" t="n">
        <v>21</v>
      </c>
      <c r="B323" s="2" t="s">
        <v>144</v>
      </c>
      <c r="C323" s="2" t="s">
        <v>335</v>
      </c>
      <c r="D323" s="8" t="n">
        <v>46139</v>
      </c>
      <c r="E323" s="2" t="n">
        <v>47.13</v>
      </c>
      <c r="F323" s="2" t="str">
        <f aca="false">IF(E323&gt;45,"Overallocated",IF(E323&lt;30,"Underutilized","OK"))</f>
        <v>Overallocated</v>
      </c>
    </row>
    <row r="324" customFormat="false" ht="15" hidden="false" customHeight="false" outlineLevel="0" collapsed="false">
      <c r="A324" s="2" t="n">
        <v>22</v>
      </c>
      <c r="B324" s="2" t="s">
        <v>155</v>
      </c>
      <c r="C324" s="2" t="s">
        <v>336</v>
      </c>
      <c r="D324" s="8" t="n">
        <v>46139</v>
      </c>
      <c r="E324" s="2" t="n">
        <v>51.2</v>
      </c>
      <c r="F324" s="2" t="str">
        <f aca="false">IF(E324&gt;45,"Overallocated",IF(E324&lt;30,"Underutilized","OK"))</f>
        <v>Overallocated</v>
      </c>
    </row>
    <row r="325" customFormat="false" ht="15" hidden="false" customHeight="false" outlineLevel="0" collapsed="false">
      <c r="A325" s="2" t="n">
        <v>23</v>
      </c>
      <c r="B325" s="2" t="s">
        <v>105</v>
      </c>
      <c r="C325" s="2" t="s">
        <v>336</v>
      </c>
      <c r="D325" s="8" t="n">
        <v>46139</v>
      </c>
      <c r="E325" s="2" t="n">
        <v>42.32</v>
      </c>
      <c r="F325" s="2" t="str">
        <f aca="false">IF(E325&gt;45,"Overallocated",IF(E325&lt;30,"Underutilized","OK"))</f>
        <v>OK</v>
      </c>
    </row>
    <row r="326" customFormat="false" ht="15" hidden="false" customHeight="false" outlineLevel="0" collapsed="false">
      <c r="A326" s="2" t="n">
        <v>24</v>
      </c>
      <c r="B326" s="2" t="s">
        <v>100</v>
      </c>
      <c r="C326" s="2" t="s">
        <v>338</v>
      </c>
      <c r="D326" s="8" t="n">
        <v>46139</v>
      </c>
      <c r="E326" s="2" t="n">
        <v>41.83</v>
      </c>
      <c r="F326" s="2" t="str">
        <f aca="false">IF(E326&gt;45,"Overallocated",IF(E326&lt;30,"Underutilized","OK"))</f>
        <v>OK</v>
      </c>
    </row>
    <row r="327" customFormat="false" ht="15" hidden="false" customHeight="false" outlineLevel="0" collapsed="false">
      <c r="A327" s="2" t="n">
        <v>25</v>
      </c>
      <c r="B327" s="2" t="s">
        <v>125</v>
      </c>
      <c r="C327" s="2" t="s">
        <v>339</v>
      </c>
      <c r="D327" s="8" t="n">
        <v>46139</v>
      </c>
      <c r="E327" s="2" t="n">
        <v>47.84</v>
      </c>
      <c r="F327" s="2" t="str">
        <f aca="false">IF(E327&gt;45,"Overallocated",IF(E327&lt;30,"Underutilized","OK"))</f>
        <v>Overallocated</v>
      </c>
    </row>
    <row r="328" customFormat="false" ht="15" hidden="false" customHeight="false" outlineLevel="0" collapsed="false">
      <c r="A328" s="2" t="n">
        <v>26</v>
      </c>
      <c r="B328" s="2" t="s">
        <v>162</v>
      </c>
      <c r="C328" s="2" t="s">
        <v>335</v>
      </c>
      <c r="D328" s="8" t="n">
        <v>46139</v>
      </c>
      <c r="E328" s="2" t="n">
        <v>65.28</v>
      </c>
      <c r="F328" s="2" t="str">
        <f aca="false">IF(E328&gt;45,"Overallocated",IF(E328&lt;30,"Underutilized","OK"))</f>
        <v>Overallocated</v>
      </c>
    </row>
    <row r="329" customFormat="false" ht="15" hidden="false" customHeight="false" outlineLevel="0" collapsed="false">
      <c r="A329" s="2" t="n">
        <v>27</v>
      </c>
      <c r="B329" s="2" t="s">
        <v>111</v>
      </c>
      <c r="C329" s="2" t="s">
        <v>338</v>
      </c>
      <c r="D329" s="8" t="n">
        <v>46139</v>
      </c>
      <c r="E329" s="2" t="n">
        <v>46.75</v>
      </c>
      <c r="F329" s="2" t="str">
        <f aca="false">IF(E329&gt;45,"Overallocated",IF(E329&lt;30,"Underutilized","OK"))</f>
        <v>Overallocated</v>
      </c>
    </row>
    <row r="330" customFormat="false" ht="15" hidden="false" customHeight="false" outlineLevel="0" collapsed="false">
      <c r="A330" s="2" t="n">
        <v>30</v>
      </c>
      <c r="B330" s="2" t="s">
        <v>116</v>
      </c>
      <c r="C330" s="2" t="s">
        <v>338</v>
      </c>
      <c r="D330" s="8" t="n">
        <v>46139</v>
      </c>
      <c r="E330" s="2" t="n">
        <v>28.11</v>
      </c>
      <c r="F330" s="2" t="str">
        <f aca="false">IF(E330&gt;45,"Overallocated",IF(E330&lt;30,"Underutilized","OK"))</f>
        <v>Underutilized</v>
      </c>
    </row>
    <row r="331" customFormat="false" ht="15" hidden="false" customHeight="false" outlineLevel="0" collapsed="false">
      <c r="A331" s="2" t="n">
        <v>31</v>
      </c>
      <c r="B331" s="2" t="s">
        <v>204</v>
      </c>
      <c r="C331" s="2" t="s">
        <v>335</v>
      </c>
      <c r="D331" s="8" t="n">
        <v>46139</v>
      </c>
      <c r="E331" s="2" t="n">
        <v>41.05</v>
      </c>
      <c r="F331" s="2" t="str">
        <f aca="false">IF(E331&gt;45,"Overallocated",IF(E331&lt;30,"Underutilized","OK"))</f>
        <v>OK</v>
      </c>
    </row>
    <row r="332" customFormat="false" ht="15" hidden="false" customHeight="false" outlineLevel="0" collapsed="false">
      <c r="A332" s="2" t="n">
        <v>32</v>
      </c>
      <c r="B332" s="2" t="s">
        <v>267</v>
      </c>
      <c r="C332" s="2" t="s">
        <v>335</v>
      </c>
      <c r="D332" s="8" t="n">
        <v>46139</v>
      </c>
      <c r="E332" s="2" t="n">
        <v>43.02</v>
      </c>
      <c r="F332" s="2" t="str">
        <f aca="false">IF(E332&gt;45,"Overallocated",IF(E332&lt;30,"Underutilized","OK"))</f>
        <v>OK</v>
      </c>
    </row>
    <row r="333" customFormat="false" ht="15" hidden="false" customHeight="false" outlineLevel="0" collapsed="false">
      <c r="A333" s="2" t="n">
        <v>33</v>
      </c>
      <c r="B333" s="2" t="s">
        <v>135</v>
      </c>
      <c r="C333" s="2" t="s">
        <v>337</v>
      </c>
      <c r="D333" s="8" t="n">
        <v>46139</v>
      </c>
      <c r="E333" s="2" t="n">
        <v>42.09</v>
      </c>
      <c r="F333" s="2" t="str">
        <f aca="false">IF(E333&gt;45,"Overallocated",IF(E333&lt;30,"Underutilized","OK"))</f>
        <v>OK</v>
      </c>
    </row>
    <row r="334" customFormat="false" ht="15" hidden="false" customHeight="false" outlineLevel="0" collapsed="false">
      <c r="A334" s="2" t="n">
        <v>34</v>
      </c>
      <c r="B334" s="2" t="s">
        <v>251</v>
      </c>
      <c r="C334" s="2" t="s">
        <v>336</v>
      </c>
      <c r="D334" s="8" t="n">
        <v>46139</v>
      </c>
      <c r="E334" s="2" t="n">
        <v>46.51</v>
      </c>
      <c r="F334" s="2" t="str">
        <f aca="false">IF(E334&gt;45,"Overallocated",IF(E334&lt;30,"Underutilized","OK"))</f>
        <v>Overallocated</v>
      </c>
    </row>
    <row r="335" customFormat="false" ht="15" hidden="false" customHeight="false" outlineLevel="0" collapsed="false">
      <c r="A335" s="2" t="n">
        <v>35</v>
      </c>
      <c r="B335" s="2" t="s">
        <v>37</v>
      </c>
      <c r="C335" s="2" t="s">
        <v>337</v>
      </c>
      <c r="D335" s="8" t="n">
        <v>46139</v>
      </c>
      <c r="E335" s="2" t="n">
        <v>38.5</v>
      </c>
      <c r="F335" s="2" t="str">
        <f aca="false">IF(E335&gt;45,"Overallocated",IF(E335&lt;30,"Underutilized","OK"))</f>
        <v>OK</v>
      </c>
    </row>
    <row r="336" customFormat="false" ht="15" hidden="false" customHeight="false" outlineLevel="0" collapsed="false">
      <c r="A336" s="2" t="n">
        <v>36</v>
      </c>
      <c r="B336" s="2" t="s">
        <v>146</v>
      </c>
      <c r="C336" s="2" t="s">
        <v>339</v>
      </c>
      <c r="D336" s="8" t="n">
        <v>46139</v>
      </c>
      <c r="E336" s="2" t="n">
        <v>52.57</v>
      </c>
      <c r="F336" s="2" t="str">
        <f aca="false">IF(E336&gt;45,"Overallocated",IF(E336&lt;30,"Underutilized","OK"))</f>
        <v>Overallocated</v>
      </c>
    </row>
    <row r="337" customFormat="false" ht="15" hidden="false" customHeight="false" outlineLevel="0" collapsed="false">
      <c r="A337" s="2" t="n">
        <v>37</v>
      </c>
      <c r="B337" s="2" t="s">
        <v>175</v>
      </c>
      <c r="C337" s="2" t="s">
        <v>335</v>
      </c>
      <c r="D337" s="8" t="n">
        <v>46139</v>
      </c>
      <c r="E337" s="2" t="n">
        <v>39.6</v>
      </c>
      <c r="F337" s="2" t="str">
        <f aca="false">IF(E337&gt;45,"Overallocated",IF(E337&lt;30,"Underutilized","OK"))</f>
        <v>OK</v>
      </c>
    </row>
    <row r="338" customFormat="false" ht="15" hidden="false" customHeight="false" outlineLevel="0" collapsed="false">
      <c r="A338" s="2" t="n">
        <v>38</v>
      </c>
      <c r="B338" s="2" t="s">
        <v>121</v>
      </c>
      <c r="C338" s="2" t="s">
        <v>335</v>
      </c>
      <c r="D338" s="8" t="n">
        <v>46139</v>
      </c>
      <c r="E338" s="2" t="n">
        <v>34.92</v>
      </c>
      <c r="F338" s="2" t="str">
        <f aca="false">IF(E338&gt;45,"Overallocated",IF(E338&lt;30,"Underutilized","OK"))</f>
        <v>OK</v>
      </c>
    </row>
    <row r="339" customFormat="false" ht="15" hidden="false" customHeight="false" outlineLevel="0" collapsed="false">
      <c r="A339" s="2" t="n">
        <v>39</v>
      </c>
      <c r="B339" s="2" t="s">
        <v>198</v>
      </c>
      <c r="C339" s="2" t="s">
        <v>336</v>
      </c>
      <c r="D339" s="8" t="n">
        <v>46139</v>
      </c>
      <c r="E339" s="2" t="n">
        <v>35.41</v>
      </c>
      <c r="F339" s="2" t="str">
        <f aca="false">IF(E339&gt;45,"Overallocated",IF(E339&lt;30,"Underutilized","OK"))</f>
        <v>OK</v>
      </c>
    </row>
    <row r="340" customFormat="false" ht="15" hidden="false" customHeight="false" outlineLevel="0" collapsed="false">
      <c r="A340" s="2" t="n">
        <v>40</v>
      </c>
      <c r="B340" s="2" t="s">
        <v>201</v>
      </c>
      <c r="C340" s="2" t="s">
        <v>339</v>
      </c>
      <c r="D340" s="8" t="n">
        <v>46139</v>
      </c>
      <c r="E340" s="2" t="n">
        <v>40.99</v>
      </c>
      <c r="F340" s="2" t="str">
        <f aca="false">IF(E340&gt;45,"Overallocated",IF(E340&lt;30,"Underutilized","OK"))</f>
        <v>OK</v>
      </c>
    </row>
    <row r="341" customFormat="false" ht="15" hidden="false" customHeight="false" outlineLevel="0" collapsed="false">
      <c r="A341" s="2" t="n">
        <v>41</v>
      </c>
      <c r="B341" s="2" t="s">
        <v>92</v>
      </c>
      <c r="C341" s="2" t="s">
        <v>336</v>
      </c>
      <c r="D341" s="8" t="n">
        <v>46139</v>
      </c>
      <c r="E341" s="2" t="n">
        <v>40.95</v>
      </c>
      <c r="F341" s="2" t="str">
        <f aca="false">IF(E341&gt;45,"Overallocated",IF(E341&lt;30,"Underutilized","OK"))</f>
        <v>OK</v>
      </c>
    </row>
    <row r="342" customFormat="false" ht="15" hidden="false" customHeight="false" outlineLevel="0" collapsed="false">
      <c r="A342" s="2" t="n">
        <v>43</v>
      </c>
      <c r="B342" s="2" t="s">
        <v>118</v>
      </c>
      <c r="C342" s="2" t="s">
        <v>337</v>
      </c>
      <c r="D342" s="8" t="n">
        <v>46139</v>
      </c>
      <c r="E342" s="2" t="n">
        <v>26.84</v>
      </c>
      <c r="F342" s="2" t="str">
        <f aca="false">IF(E342&gt;45,"Overallocated",IF(E342&lt;30,"Underutilized","OK"))</f>
        <v>Underutilized</v>
      </c>
    </row>
    <row r="343" customFormat="false" ht="15" hidden="false" customHeight="false" outlineLevel="0" collapsed="false">
      <c r="A343" s="2" t="n">
        <v>44</v>
      </c>
      <c r="B343" s="2" t="s">
        <v>138</v>
      </c>
      <c r="C343" s="2" t="s">
        <v>335</v>
      </c>
      <c r="D343" s="8" t="n">
        <v>46139</v>
      </c>
      <c r="E343" s="2" t="n">
        <v>40.57</v>
      </c>
      <c r="F343" s="2" t="str">
        <f aca="false">IF(E343&gt;45,"Overallocated",IF(E343&lt;30,"Underutilized","OK"))</f>
        <v>OK</v>
      </c>
    </row>
    <row r="344" customFormat="false" ht="15" hidden="false" customHeight="false" outlineLevel="0" collapsed="false">
      <c r="A344" s="2" t="n">
        <v>45</v>
      </c>
      <c r="B344" s="2" t="s">
        <v>113</v>
      </c>
      <c r="C344" s="2" t="s">
        <v>337</v>
      </c>
      <c r="D344" s="8" t="n">
        <v>46139</v>
      </c>
      <c r="E344" s="2" t="n">
        <v>51.27</v>
      </c>
      <c r="F344" s="2" t="str">
        <f aca="false">IF(E344&gt;45,"Overallocated",IF(E344&lt;30,"Underutilized","OK"))</f>
        <v>Overallocated</v>
      </c>
    </row>
    <row r="345" customFormat="false" ht="15" hidden="false" customHeight="false" outlineLevel="0" collapsed="false">
      <c r="A345" s="2" t="n">
        <v>46</v>
      </c>
      <c r="B345" s="2" t="s">
        <v>51</v>
      </c>
      <c r="C345" s="2" t="s">
        <v>336</v>
      </c>
      <c r="D345" s="8" t="n">
        <v>46139</v>
      </c>
      <c r="E345" s="2" t="n">
        <v>33.54</v>
      </c>
      <c r="F345" s="2" t="str">
        <f aca="false">IF(E345&gt;45,"Overallocated",IF(E345&lt;30,"Underutilized","OK"))</f>
        <v>OK</v>
      </c>
    </row>
    <row r="346" customFormat="false" ht="15" hidden="false" customHeight="false" outlineLevel="0" collapsed="false">
      <c r="A346" s="2" t="n">
        <v>47</v>
      </c>
      <c r="B346" s="2" t="s">
        <v>123</v>
      </c>
      <c r="C346" s="2" t="s">
        <v>335</v>
      </c>
      <c r="D346" s="8" t="n">
        <v>46139</v>
      </c>
      <c r="E346" s="2" t="n">
        <v>49.66</v>
      </c>
      <c r="F346" s="2" t="str">
        <f aca="false">IF(E346&gt;45,"Overallocated",IF(E346&lt;30,"Underutilized","OK"))</f>
        <v>Overallocated</v>
      </c>
    </row>
    <row r="347" customFormat="false" ht="15" hidden="false" customHeight="false" outlineLevel="0" collapsed="false">
      <c r="A347" s="2" t="n">
        <v>49</v>
      </c>
      <c r="B347" s="2" t="s">
        <v>148</v>
      </c>
      <c r="C347" s="2" t="s">
        <v>336</v>
      </c>
      <c r="D347" s="8" t="n">
        <v>46139</v>
      </c>
      <c r="E347" s="2" t="n">
        <v>27.02</v>
      </c>
      <c r="F347" s="2" t="str">
        <f aca="false">IF(E347&gt;45,"Overallocated",IF(E347&lt;30,"Underutilized","OK"))</f>
        <v>Underutilized</v>
      </c>
    </row>
    <row r="348" customFormat="false" ht="15" hidden="false" customHeight="false" outlineLevel="0" collapsed="false">
      <c r="A348" s="2" t="n">
        <v>50</v>
      </c>
      <c r="B348" s="2" t="s">
        <v>107</v>
      </c>
      <c r="C348" s="2" t="s">
        <v>335</v>
      </c>
      <c r="D348" s="8" t="n">
        <v>46139</v>
      </c>
      <c r="E348" s="2" t="n">
        <v>27.81</v>
      </c>
      <c r="F348" s="2" t="str">
        <f aca="false">IF(E348&gt;45,"Overallocated",IF(E348&lt;30,"Underutilized","OK"))</f>
        <v>Underutilized</v>
      </c>
    </row>
  </sheetData>
  <conditionalFormatting sqref="F2:F348">
    <cfRule type="cellIs" priority="2" operator="equal" aboveAverage="0" equalAverage="0" bottom="0" percent="0" rank="0" text="" dxfId="10">
      <formula>"Overallocated"</formula>
    </cfRule>
    <cfRule type="cellIs" priority="3" operator="equal" aboveAverage="0" equalAverage="0" bottom="0" percent="0" rank="0" text="" dxfId="9">
      <formula>"Underutilized"</formula>
    </cfRule>
    <cfRule type="cellIs" priority="4" operator="equal" aboveAverage="0" equalAverage="0" bottom="0" percent="0" rank="0" text="" dxfId="8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7" min="5" style="0" width="15"/>
  </cols>
  <sheetData>
    <row r="1" customFormat="false" ht="15" hidden="false" customHeight="false" outlineLevel="0" collapsed="false">
      <c r="A1" s="5" t="s">
        <v>341</v>
      </c>
      <c r="B1" s="5" t="s">
        <v>21</v>
      </c>
      <c r="C1" s="5" t="s">
        <v>22</v>
      </c>
      <c r="D1" s="5" t="s">
        <v>342</v>
      </c>
      <c r="E1" s="5" t="s">
        <v>343</v>
      </c>
      <c r="F1" s="5" t="s">
        <v>30</v>
      </c>
      <c r="G1" s="5" t="s">
        <v>344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35</v>
      </c>
      <c r="D2" s="8" t="n">
        <v>45809</v>
      </c>
      <c r="E2" s="9" t="n">
        <v>4946.34</v>
      </c>
      <c r="F2" s="9" t="n">
        <v>8607.51</v>
      </c>
      <c r="G2" s="9" t="n">
        <f aca="false">F2-E2</f>
        <v>3661.17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35</v>
      </c>
      <c r="D3" s="8" t="n">
        <v>45839</v>
      </c>
      <c r="E3" s="9" t="n">
        <v>4808.32</v>
      </c>
      <c r="F3" s="9" t="n">
        <v>7081.54</v>
      </c>
      <c r="G3" s="9" t="n">
        <f aca="false">F3-E3</f>
        <v>2273.22</v>
      </c>
    </row>
    <row r="4" customFormat="false" ht="15" hidden="false" customHeight="false" outlineLevel="0" collapsed="false">
      <c r="A4" s="2" t="n">
        <v>3</v>
      </c>
      <c r="B4" s="2" t="n">
        <v>1</v>
      </c>
      <c r="C4" s="2" t="s">
        <v>35</v>
      </c>
      <c r="D4" s="8" t="n">
        <v>45870</v>
      </c>
      <c r="E4" s="9" t="n">
        <v>4850.62</v>
      </c>
      <c r="F4" s="9" t="n">
        <v>4395.82</v>
      </c>
      <c r="G4" s="9" t="n">
        <f aca="false">F4-E4</f>
        <v>-454.8</v>
      </c>
    </row>
    <row r="5" customFormat="false" ht="15" hidden="false" customHeight="false" outlineLevel="0" collapsed="false">
      <c r="A5" s="2" t="n">
        <v>4</v>
      </c>
      <c r="B5" s="2" t="n">
        <v>1</v>
      </c>
      <c r="C5" s="2" t="s">
        <v>35</v>
      </c>
      <c r="D5" s="8" t="n">
        <v>45901</v>
      </c>
      <c r="E5" s="9" t="n">
        <v>5382.81</v>
      </c>
      <c r="F5" s="9" t="n">
        <v>8182.51</v>
      </c>
      <c r="G5" s="9" t="n">
        <f aca="false">F5-E5</f>
        <v>2799.7</v>
      </c>
    </row>
    <row r="6" customFormat="false" ht="15" hidden="false" customHeight="false" outlineLevel="0" collapsed="false">
      <c r="A6" s="2" t="n">
        <v>5</v>
      </c>
      <c r="B6" s="2" t="n">
        <v>1</v>
      </c>
      <c r="C6" s="2" t="s">
        <v>35</v>
      </c>
      <c r="D6" s="8" t="n">
        <v>45931</v>
      </c>
      <c r="E6" s="9" t="n">
        <v>4999.37</v>
      </c>
      <c r="F6" s="9" t="n">
        <v>3941.84</v>
      </c>
      <c r="G6" s="9" t="n">
        <f aca="false">F6-E6</f>
        <v>-1057.53</v>
      </c>
    </row>
    <row r="7" customFormat="false" ht="15" hidden="false" customHeight="false" outlineLevel="0" collapsed="false">
      <c r="A7" s="2" t="n">
        <v>6</v>
      </c>
      <c r="B7" s="2" t="n">
        <v>1</v>
      </c>
      <c r="C7" s="2" t="s">
        <v>35</v>
      </c>
      <c r="D7" s="8" t="n">
        <v>45962</v>
      </c>
      <c r="E7" s="9" t="n">
        <v>5378.7</v>
      </c>
      <c r="F7" s="9" t="n">
        <v>4630.66</v>
      </c>
      <c r="G7" s="9" t="n">
        <f aca="false">F7-E7</f>
        <v>-748.04</v>
      </c>
    </row>
    <row r="8" customFormat="false" ht="15" hidden="false" customHeight="false" outlineLevel="0" collapsed="false">
      <c r="A8" s="2" t="n">
        <v>7</v>
      </c>
      <c r="B8" s="2" t="n">
        <v>1</v>
      </c>
      <c r="C8" s="2" t="s">
        <v>35</v>
      </c>
      <c r="D8" s="8" t="n">
        <v>45992</v>
      </c>
      <c r="E8" s="9" t="n">
        <v>4824.8</v>
      </c>
      <c r="F8" s="9" t="n">
        <v>4583.3</v>
      </c>
      <c r="G8" s="9" t="n">
        <f aca="false">F8-E8</f>
        <v>-241.5</v>
      </c>
    </row>
    <row r="9" customFormat="false" ht="15" hidden="false" customHeight="false" outlineLevel="0" collapsed="false">
      <c r="A9" s="2" t="n">
        <v>8</v>
      </c>
      <c r="B9" s="2" t="n">
        <v>1</v>
      </c>
      <c r="C9" s="2" t="s">
        <v>35</v>
      </c>
      <c r="D9" s="8" t="n">
        <v>46023</v>
      </c>
      <c r="E9" s="9" t="n">
        <v>4888.47</v>
      </c>
      <c r="F9" s="9" t="n">
        <v>6192.54</v>
      </c>
      <c r="G9" s="9" t="n">
        <f aca="false">F9-E9</f>
        <v>1304.07</v>
      </c>
    </row>
    <row r="10" customFormat="false" ht="15" hidden="false" customHeight="false" outlineLevel="0" collapsed="false">
      <c r="A10" s="2" t="n">
        <v>9</v>
      </c>
      <c r="B10" s="2" t="n">
        <v>1</v>
      </c>
      <c r="C10" s="2" t="s">
        <v>35</v>
      </c>
      <c r="D10" s="8" t="n">
        <v>46054</v>
      </c>
      <c r="E10" s="9" t="n">
        <v>4944.07</v>
      </c>
      <c r="F10" s="9" t="n">
        <v>5426.9</v>
      </c>
      <c r="G10" s="9" t="n">
        <f aca="false">F10-E10</f>
        <v>482.83</v>
      </c>
    </row>
    <row r="11" customFormat="false" ht="15" hidden="false" customHeight="false" outlineLevel="0" collapsed="false">
      <c r="A11" s="2" t="n">
        <v>10</v>
      </c>
      <c r="B11" s="2" t="n">
        <v>1</v>
      </c>
      <c r="C11" s="2" t="s">
        <v>35</v>
      </c>
      <c r="D11" s="8" t="n">
        <v>46082</v>
      </c>
      <c r="E11" s="9" t="n">
        <v>5322.23</v>
      </c>
      <c r="F11" s="9" t="n">
        <v>6069.2</v>
      </c>
      <c r="G11" s="9" t="n">
        <f aca="false">F11-E11</f>
        <v>746.97</v>
      </c>
    </row>
    <row r="12" customFormat="false" ht="15" hidden="false" customHeight="false" outlineLevel="0" collapsed="false">
      <c r="A12" s="2" t="n">
        <v>11</v>
      </c>
      <c r="B12" s="2" t="n">
        <v>1</v>
      </c>
      <c r="C12" s="2" t="s">
        <v>35</v>
      </c>
      <c r="D12" s="8" t="n">
        <v>46113</v>
      </c>
      <c r="E12" s="9" t="n">
        <v>4810.57</v>
      </c>
      <c r="F12" s="9" t="n">
        <v>4183.61</v>
      </c>
      <c r="G12" s="9" t="n">
        <f aca="false">F12-E12</f>
        <v>-626.96</v>
      </c>
    </row>
    <row r="13" customFormat="false" ht="15" hidden="false" customHeight="false" outlineLevel="0" collapsed="false">
      <c r="A13" s="2" t="n">
        <v>12</v>
      </c>
      <c r="B13" s="2" t="n">
        <v>1</v>
      </c>
      <c r="C13" s="2" t="s">
        <v>35</v>
      </c>
      <c r="D13" s="8" t="n">
        <v>46143</v>
      </c>
      <c r="E13" s="9" t="n">
        <v>5263.67</v>
      </c>
      <c r="F13" s="9" t="n">
        <v>7275.83</v>
      </c>
      <c r="G13" s="9" t="n">
        <f aca="false">F13-E13</f>
        <v>2012.16</v>
      </c>
    </row>
    <row r="14" customFormat="false" ht="15" hidden="false" customHeight="false" outlineLevel="0" collapsed="false">
      <c r="A14" s="2" t="n">
        <v>13</v>
      </c>
      <c r="B14" s="2" t="n">
        <v>2</v>
      </c>
      <c r="C14" s="2" t="s">
        <v>39</v>
      </c>
      <c r="D14" s="8" t="n">
        <v>45809</v>
      </c>
      <c r="E14" s="9" t="n">
        <v>6328.68</v>
      </c>
      <c r="F14" s="9" t="n">
        <v>5173.61</v>
      </c>
      <c r="G14" s="9" t="n">
        <f aca="false">F14-E14</f>
        <v>-1155.07</v>
      </c>
    </row>
    <row r="15" customFormat="false" ht="15" hidden="false" customHeight="false" outlineLevel="0" collapsed="false">
      <c r="A15" s="2" t="n">
        <v>14</v>
      </c>
      <c r="B15" s="2" t="n">
        <v>2</v>
      </c>
      <c r="C15" s="2" t="s">
        <v>39</v>
      </c>
      <c r="D15" s="8" t="n">
        <v>45839</v>
      </c>
      <c r="E15" s="9" t="n">
        <v>6634.93</v>
      </c>
      <c r="F15" s="9" t="n">
        <v>4842.05</v>
      </c>
      <c r="G15" s="9" t="n">
        <f aca="false">F15-E15</f>
        <v>-1792.88</v>
      </c>
    </row>
    <row r="16" customFormat="false" ht="15" hidden="false" customHeight="false" outlineLevel="0" collapsed="false">
      <c r="A16" s="2" t="n">
        <v>15</v>
      </c>
      <c r="B16" s="2" t="n">
        <v>2</v>
      </c>
      <c r="C16" s="2" t="s">
        <v>39</v>
      </c>
      <c r="D16" s="8" t="n">
        <v>45870</v>
      </c>
      <c r="E16" s="9" t="n">
        <v>6307.79</v>
      </c>
      <c r="F16" s="9" t="n">
        <v>3736.28</v>
      </c>
      <c r="G16" s="9" t="n">
        <f aca="false">F16-E16</f>
        <v>-2571.51</v>
      </c>
    </row>
    <row r="17" customFormat="false" ht="15" hidden="false" customHeight="false" outlineLevel="0" collapsed="false">
      <c r="A17" s="2" t="n">
        <v>16</v>
      </c>
      <c r="B17" s="2" t="n">
        <v>2</v>
      </c>
      <c r="C17" s="2" t="s">
        <v>39</v>
      </c>
      <c r="D17" s="8" t="n">
        <v>45901</v>
      </c>
      <c r="E17" s="9" t="n">
        <v>6631.61</v>
      </c>
      <c r="F17" s="9" t="n">
        <v>6071.54</v>
      </c>
      <c r="G17" s="9" t="n">
        <f aca="false">F17-E17</f>
        <v>-560.07</v>
      </c>
    </row>
    <row r="18" customFormat="false" ht="15" hidden="false" customHeight="false" outlineLevel="0" collapsed="false">
      <c r="A18" s="2" t="n">
        <v>17</v>
      </c>
      <c r="B18" s="2" t="n">
        <v>2</v>
      </c>
      <c r="C18" s="2" t="s">
        <v>39</v>
      </c>
      <c r="D18" s="8" t="n">
        <v>45931</v>
      </c>
      <c r="E18" s="9" t="n">
        <v>6257.09</v>
      </c>
      <c r="F18" s="9" t="n">
        <v>5068.67</v>
      </c>
      <c r="G18" s="9" t="n">
        <f aca="false">F18-E18</f>
        <v>-1188.42</v>
      </c>
    </row>
    <row r="19" customFormat="false" ht="15" hidden="false" customHeight="false" outlineLevel="0" collapsed="false">
      <c r="A19" s="2" t="n">
        <v>18</v>
      </c>
      <c r="B19" s="2" t="n">
        <v>2</v>
      </c>
      <c r="C19" s="2" t="s">
        <v>39</v>
      </c>
      <c r="D19" s="8" t="n">
        <v>45962</v>
      </c>
      <c r="E19" s="9" t="n">
        <v>7088.19</v>
      </c>
      <c r="F19" s="9" t="n">
        <v>6942.06</v>
      </c>
      <c r="G19" s="9" t="n">
        <f aca="false">F19-E19</f>
        <v>-146.129999999999</v>
      </c>
    </row>
    <row r="20" customFormat="false" ht="15" hidden="false" customHeight="false" outlineLevel="0" collapsed="false">
      <c r="A20" s="2" t="n">
        <v>19</v>
      </c>
      <c r="B20" s="2" t="n">
        <v>2</v>
      </c>
      <c r="C20" s="2" t="s">
        <v>39</v>
      </c>
      <c r="D20" s="8" t="n">
        <v>45992</v>
      </c>
      <c r="E20" s="9" t="n">
        <v>6661.24</v>
      </c>
      <c r="F20" s="9" t="n">
        <v>5331.65</v>
      </c>
      <c r="G20" s="9" t="n">
        <f aca="false">F20-E20</f>
        <v>-1329.59</v>
      </c>
    </row>
    <row r="21" customFormat="false" ht="15" hidden="false" customHeight="false" outlineLevel="0" collapsed="false">
      <c r="A21" s="2" t="n">
        <v>20</v>
      </c>
      <c r="B21" s="2" t="n">
        <v>2</v>
      </c>
      <c r="C21" s="2" t="s">
        <v>39</v>
      </c>
      <c r="D21" s="8" t="n">
        <v>46023</v>
      </c>
      <c r="E21" s="9" t="n">
        <v>6604.29</v>
      </c>
      <c r="F21" s="9" t="n">
        <v>6831</v>
      </c>
      <c r="G21" s="9" t="n">
        <f aca="false">F21-E21</f>
        <v>226.71</v>
      </c>
    </row>
    <row r="22" customFormat="false" ht="15" hidden="false" customHeight="false" outlineLevel="0" collapsed="false">
      <c r="A22" s="2" t="n">
        <v>21</v>
      </c>
      <c r="B22" s="2" t="n">
        <v>2</v>
      </c>
      <c r="C22" s="2" t="s">
        <v>39</v>
      </c>
      <c r="D22" s="8" t="n">
        <v>46054</v>
      </c>
      <c r="E22" s="9" t="n">
        <v>7188.07</v>
      </c>
      <c r="F22" s="9" t="n">
        <v>5662.31</v>
      </c>
      <c r="G22" s="9" t="n">
        <f aca="false">F22-E22</f>
        <v>-1525.76</v>
      </c>
    </row>
    <row r="23" customFormat="false" ht="15" hidden="false" customHeight="false" outlineLevel="0" collapsed="false">
      <c r="A23" s="2" t="n">
        <v>22</v>
      </c>
      <c r="B23" s="2" t="n">
        <v>2</v>
      </c>
      <c r="C23" s="2" t="s">
        <v>39</v>
      </c>
      <c r="D23" s="8" t="n">
        <v>46082</v>
      </c>
      <c r="E23" s="9" t="n">
        <v>6731.58</v>
      </c>
      <c r="F23" s="9" t="n">
        <v>4859.25</v>
      </c>
      <c r="G23" s="9" t="n">
        <f aca="false">F23-E23</f>
        <v>-1872.33</v>
      </c>
    </row>
    <row r="24" customFormat="false" ht="15" hidden="false" customHeight="false" outlineLevel="0" collapsed="false">
      <c r="A24" s="2" t="n">
        <v>23</v>
      </c>
      <c r="B24" s="2" t="n">
        <v>2</v>
      </c>
      <c r="C24" s="2" t="s">
        <v>39</v>
      </c>
      <c r="D24" s="8" t="n">
        <v>46113</v>
      </c>
      <c r="E24" s="9" t="n">
        <v>6621.61</v>
      </c>
      <c r="F24" s="9" t="n">
        <v>3834.03</v>
      </c>
      <c r="G24" s="9" t="n">
        <f aca="false">F24-E24</f>
        <v>-2787.58</v>
      </c>
    </row>
    <row r="25" customFormat="false" ht="15" hidden="false" customHeight="false" outlineLevel="0" collapsed="false">
      <c r="A25" s="2" t="n">
        <v>24</v>
      </c>
      <c r="B25" s="2" t="n">
        <v>2</v>
      </c>
      <c r="C25" s="2" t="s">
        <v>39</v>
      </c>
      <c r="D25" s="8" t="n">
        <v>46143</v>
      </c>
      <c r="E25" s="9" t="n">
        <v>6253.32</v>
      </c>
      <c r="F25" s="9" t="n">
        <v>3285.4</v>
      </c>
      <c r="G25" s="9" t="n">
        <f aca="false">F25-E25</f>
        <v>-2967.92</v>
      </c>
    </row>
    <row r="26" customFormat="false" ht="15" hidden="false" customHeight="false" outlineLevel="0" collapsed="false">
      <c r="A26" s="2" t="n">
        <v>25</v>
      </c>
      <c r="B26" s="2" t="n">
        <v>3</v>
      </c>
      <c r="C26" s="2" t="s">
        <v>42</v>
      </c>
      <c r="D26" s="8" t="n">
        <v>45809</v>
      </c>
      <c r="E26" s="9" t="n">
        <v>26067.39</v>
      </c>
      <c r="F26" s="9" t="n">
        <v>15996.68</v>
      </c>
      <c r="G26" s="9" t="n">
        <f aca="false">F26-E26</f>
        <v>-10070.71</v>
      </c>
    </row>
    <row r="27" customFormat="false" ht="15" hidden="false" customHeight="false" outlineLevel="0" collapsed="false">
      <c r="A27" s="2" t="n">
        <v>26</v>
      </c>
      <c r="B27" s="2" t="n">
        <v>3</v>
      </c>
      <c r="C27" s="2" t="s">
        <v>42</v>
      </c>
      <c r="D27" s="8" t="n">
        <v>45839</v>
      </c>
      <c r="E27" s="9" t="n">
        <v>23722.28</v>
      </c>
      <c r="F27" s="9" t="n">
        <v>19586.82</v>
      </c>
      <c r="G27" s="9" t="n">
        <f aca="false">F27-E27</f>
        <v>-4135.46</v>
      </c>
    </row>
    <row r="28" customFormat="false" ht="15" hidden="false" customHeight="false" outlineLevel="0" collapsed="false">
      <c r="A28" s="2" t="n">
        <v>27</v>
      </c>
      <c r="B28" s="2" t="n">
        <v>3</v>
      </c>
      <c r="C28" s="2" t="s">
        <v>42</v>
      </c>
      <c r="D28" s="8" t="n">
        <v>45870</v>
      </c>
      <c r="E28" s="9" t="n">
        <v>26681.65</v>
      </c>
      <c r="F28" s="9" t="n">
        <v>16988.48</v>
      </c>
      <c r="G28" s="9" t="n">
        <f aca="false">F28-E28</f>
        <v>-9693.17</v>
      </c>
    </row>
    <row r="29" customFormat="false" ht="15" hidden="false" customHeight="false" outlineLevel="0" collapsed="false">
      <c r="A29" s="2" t="n">
        <v>28</v>
      </c>
      <c r="B29" s="2" t="n">
        <v>3</v>
      </c>
      <c r="C29" s="2" t="s">
        <v>42</v>
      </c>
      <c r="D29" s="8" t="n">
        <v>45901</v>
      </c>
      <c r="E29" s="9" t="n">
        <v>23984.63</v>
      </c>
      <c r="F29" s="9" t="n">
        <v>18420.31</v>
      </c>
      <c r="G29" s="9" t="n">
        <f aca="false">F29-E29</f>
        <v>-5564.32</v>
      </c>
    </row>
    <row r="30" customFormat="false" ht="15" hidden="false" customHeight="false" outlineLevel="0" collapsed="false">
      <c r="A30" s="2" t="n">
        <v>29</v>
      </c>
      <c r="B30" s="2" t="n">
        <v>3</v>
      </c>
      <c r="C30" s="2" t="s">
        <v>42</v>
      </c>
      <c r="D30" s="8" t="n">
        <v>45931</v>
      </c>
      <c r="E30" s="9" t="n">
        <v>24992.44</v>
      </c>
      <c r="F30" s="9" t="n">
        <v>28232.15</v>
      </c>
      <c r="G30" s="9" t="n">
        <f aca="false">F30-E30</f>
        <v>3239.71</v>
      </c>
    </row>
    <row r="31" customFormat="false" ht="15" hidden="false" customHeight="false" outlineLevel="0" collapsed="false">
      <c r="A31" s="2" t="n">
        <v>30</v>
      </c>
      <c r="B31" s="2" t="n">
        <v>3</v>
      </c>
      <c r="C31" s="2" t="s">
        <v>42</v>
      </c>
      <c r="D31" s="8" t="n">
        <v>45962</v>
      </c>
      <c r="E31" s="9" t="n">
        <v>23377.22</v>
      </c>
      <c r="F31" s="9" t="n">
        <v>26717.78</v>
      </c>
      <c r="G31" s="9" t="n">
        <f aca="false">F31-E31</f>
        <v>3340.56</v>
      </c>
    </row>
    <row r="32" customFormat="false" ht="15" hidden="false" customHeight="false" outlineLevel="0" collapsed="false">
      <c r="A32" s="2" t="n">
        <v>31</v>
      </c>
      <c r="B32" s="2" t="n">
        <v>3</v>
      </c>
      <c r="C32" s="2" t="s">
        <v>42</v>
      </c>
      <c r="D32" s="8" t="n">
        <v>45992</v>
      </c>
      <c r="E32" s="9" t="n">
        <v>24314.63</v>
      </c>
      <c r="F32" s="9" t="n">
        <v>28011.6</v>
      </c>
      <c r="G32" s="9" t="n">
        <f aca="false">F32-E32</f>
        <v>3696.97</v>
      </c>
    </row>
    <row r="33" customFormat="false" ht="15" hidden="false" customHeight="false" outlineLevel="0" collapsed="false">
      <c r="A33" s="2" t="n">
        <v>32</v>
      </c>
      <c r="B33" s="2" t="n">
        <v>3</v>
      </c>
      <c r="C33" s="2" t="s">
        <v>42</v>
      </c>
      <c r="D33" s="8" t="n">
        <v>46023</v>
      </c>
      <c r="E33" s="9" t="n">
        <v>24137.13</v>
      </c>
      <c r="F33" s="9" t="n">
        <v>23392.36</v>
      </c>
      <c r="G33" s="9" t="n">
        <f aca="false">F33-E33</f>
        <v>-744.77</v>
      </c>
    </row>
    <row r="34" customFormat="false" ht="15" hidden="false" customHeight="false" outlineLevel="0" collapsed="false">
      <c r="A34" s="2" t="n">
        <v>33</v>
      </c>
      <c r="B34" s="2" t="n">
        <v>3</v>
      </c>
      <c r="C34" s="2" t="s">
        <v>42</v>
      </c>
      <c r="D34" s="8" t="n">
        <v>46054</v>
      </c>
      <c r="E34" s="9" t="n">
        <v>26925.34</v>
      </c>
      <c r="F34" s="9" t="n">
        <v>25171.66</v>
      </c>
      <c r="G34" s="9" t="n">
        <f aca="false">F34-E34</f>
        <v>-1753.68</v>
      </c>
    </row>
    <row r="35" customFormat="false" ht="15" hidden="false" customHeight="false" outlineLevel="0" collapsed="false">
      <c r="A35" s="2" t="n">
        <v>34</v>
      </c>
      <c r="B35" s="2" t="n">
        <v>3</v>
      </c>
      <c r="C35" s="2" t="s">
        <v>42</v>
      </c>
      <c r="D35" s="8" t="n">
        <v>46082</v>
      </c>
      <c r="E35" s="9" t="n">
        <v>23487.96</v>
      </c>
      <c r="F35" s="9" t="n">
        <v>17142.78</v>
      </c>
      <c r="G35" s="9" t="n">
        <f aca="false">F35-E35</f>
        <v>-6345.18</v>
      </c>
    </row>
    <row r="36" customFormat="false" ht="15" hidden="false" customHeight="false" outlineLevel="0" collapsed="false">
      <c r="A36" s="2" t="n">
        <v>35</v>
      </c>
      <c r="B36" s="2" t="n">
        <v>3</v>
      </c>
      <c r="C36" s="2" t="s">
        <v>42</v>
      </c>
      <c r="D36" s="8" t="n">
        <v>46113</v>
      </c>
      <c r="E36" s="9" t="n">
        <v>24494.23</v>
      </c>
      <c r="F36" s="9" t="n">
        <v>31136.52</v>
      </c>
      <c r="G36" s="9" t="n">
        <f aca="false">F36-E36</f>
        <v>6642.29</v>
      </c>
    </row>
    <row r="37" customFormat="false" ht="15" hidden="false" customHeight="false" outlineLevel="0" collapsed="false">
      <c r="A37" s="2" t="n">
        <v>36</v>
      </c>
      <c r="B37" s="2" t="n">
        <v>3</v>
      </c>
      <c r="C37" s="2" t="s">
        <v>42</v>
      </c>
      <c r="D37" s="8" t="n">
        <v>46143</v>
      </c>
      <c r="E37" s="9" t="n">
        <v>26716.59</v>
      </c>
      <c r="F37" s="9" t="n">
        <v>13432.94</v>
      </c>
      <c r="G37" s="9" t="n">
        <f aca="false">F37-E37</f>
        <v>-13283.65</v>
      </c>
    </row>
    <row r="38" customFormat="false" ht="15" hidden="false" customHeight="false" outlineLevel="0" collapsed="false">
      <c r="A38" s="2" t="n">
        <v>37</v>
      </c>
      <c r="B38" s="2" t="n">
        <v>4</v>
      </c>
      <c r="C38" s="2" t="s">
        <v>46</v>
      </c>
      <c r="D38" s="8" t="n">
        <v>45809</v>
      </c>
      <c r="E38" s="9" t="n">
        <v>35719.56</v>
      </c>
      <c r="F38" s="9" t="n">
        <v>34379.09</v>
      </c>
      <c r="G38" s="9" t="n">
        <f aca="false">F38-E38</f>
        <v>-1340.47</v>
      </c>
    </row>
    <row r="39" customFormat="false" ht="15" hidden="false" customHeight="false" outlineLevel="0" collapsed="false">
      <c r="A39" s="2" t="n">
        <v>38</v>
      </c>
      <c r="B39" s="2" t="n">
        <v>4</v>
      </c>
      <c r="C39" s="2" t="s">
        <v>46</v>
      </c>
      <c r="D39" s="8" t="n">
        <v>45839</v>
      </c>
      <c r="E39" s="9" t="n">
        <v>35999.05</v>
      </c>
      <c r="F39" s="9" t="n">
        <v>24942.75</v>
      </c>
      <c r="G39" s="9" t="n">
        <f aca="false">F39-E39</f>
        <v>-11056.3</v>
      </c>
    </row>
    <row r="40" customFormat="false" ht="15" hidden="false" customHeight="false" outlineLevel="0" collapsed="false">
      <c r="A40" s="2" t="n">
        <v>39</v>
      </c>
      <c r="B40" s="2" t="n">
        <v>4</v>
      </c>
      <c r="C40" s="2" t="s">
        <v>46</v>
      </c>
      <c r="D40" s="8" t="n">
        <v>45870</v>
      </c>
      <c r="E40" s="9" t="n">
        <v>35503.35</v>
      </c>
      <c r="F40" s="9" t="n">
        <v>38756.62</v>
      </c>
      <c r="G40" s="9" t="n">
        <f aca="false">F40-E40</f>
        <v>3253.27</v>
      </c>
    </row>
    <row r="41" customFormat="false" ht="15" hidden="false" customHeight="false" outlineLevel="0" collapsed="false">
      <c r="A41" s="2" t="n">
        <v>40</v>
      </c>
      <c r="B41" s="2" t="n">
        <v>4</v>
      </c>
      <c r="C41" s="2" t="s">
        <v>46</v>
      </c>
      <c r="D41" s="8" t="n">
        <v>45901</v>
      </c>
      <c r="E41" s="9" t="n">
        <v>34917.51</v>
      </c>
      <c r="F41" s="9" t="n">
        <v>46681.74</v>
      </c>
      <c r="G41" s="9" t="n">
        <f aca="false">F41-E41</f>
        <v>11764.23</v>
      </c>
    </row>
    <row r="42" customFormat="false" ht="15" hidden="false" customHeight="false" outlineLevel="0" collapsed="false">
      <c r="A42" s="2" t="n">
        <v>41</v>
      </c>
      <c r="B42" s="2" t="n">
        <v>4</v>
      </c>
      <c r="C42" s="2" t="s">
        <v>46</v>
      </c>
      <c r="D42" s="8" t="n">
        <v>45931</v>
      </c>
      <c r="E42" s="9" t="n">
        <v>31356.37</v>
      </c>
      <c r="F42" s="9" t="n">
        <v>39385</v>
      </c>
      <c r="G42" s="9" t="n">
        <f aca="false">F42-E42</f>
        <v>8028.63</v>
      </c>
    </row>
    <row r="43" customFormat="false" ht="15" hidden="false" customHeight="false" outlineLevel="0" collapsed="false">
      <c r="A43" s="2" t="n">
        <v>42</v>
      </c>
      <c r="B43" s="2" t="n">
        <v>4</v>
      </c>
      <c r="C43" s="2" t="s">
        <v>46</v>
      </c>
      <c r="D43" s="8" t="n">
        <v>45962</v>
      </c>
      <c r="E43" s="9" t="n">
        <v>35270.82</v>
      </c>
      <c r="F43" s="9" t="n">
        <v>44140.63</v>
      </c>
      <c r="G43" s="9" t="n">
        <f aca="false">F43-E43</f>
        <v>8869.81</v>
      </c>
    </row>
    <row r="44" customFormat="false" ht="15" hidden="false" customHeight="false" outlineLevel="0" collapsed="false">
      <c r="A44" s="2" t="n">
        <v>43</v>
      </c>
      <c r="B44" s="2" t="n">
        <v>4</v>
      </c>
      <c r="C44" s="2" t="s">
        <v>46</v>
      </c>
      <c r="D44" s="8" t="n">
        <v>45992</v>
      </c>
      <c r="E44" s="9" t="n">
        <v>34941.64</v>
      </c>
      <c r="F44" s="9" t="n">
        <v>32642.75</v>
      </c>
      <c r="G44" s="9" t="n">
        <f aca="false">F44-E44</f>
        <v>-2298.89</v>
      </c>
    </row>
    <row r="45" customFormat="false" ht="15" hidden="false" customHeight="false" outlineLevel="0" collapsed="false">
      <c r="A45" s="2" t="n">
        <v>44</v>
      </c>
      <c r="B45" s="2" t="n">
        <v>4</v>
      </c>
      <c r="C45" s="2" t="s">
        <v>46</v>
      </c>
      <c r="D45" s="8" t="n">
        <v>46023</v>
      </c>
      <c r="E45" s="9" t="n">
        <v>32175.75</v>
      </c>
      <c r="F45" s="9" t="n">
        <v>45090.13</v>
      </c>
      <c r="G45" s="9" t="n">
        <f aca="false">F45-E45</f>
        <v>12914.38</v>
      </c>
    </row>
    <row r="46" customFormat="false" ht="15" hidden="false" customHeight="false" outlineLevel="0" collapsed="false">
      <c r="A46" s="2" t="n">
        <v>45</v>
      </c>
      <c r="B46" s="2" t="n">
        <v>4</v>
      </c>
      <c r="C46" s="2" t="s">
        <v>46</v>
      </c>
      <c r="D46" s="8" t="n">
        <v>46054</v>
      </c>
      <c r="E46" s="9" t="n">
        <v>34923.45</v>
      </c>
      <c r="F46" s="9" t="n">
        <v>34567.67</v>
      </c>
      <c r="G46" s="9" t="n">
        <f aca="false">F46-E46</f>
        <v>-355.779999999999</v>
      </c>
    </row>
    <row r="47" customFormat="false" ht="15" hidden="false" customHeight="false" outlineLevel="0" collapsed="false">
      <c r="A47" s="2" t="n">
        <v>46</v>
      </c>
      <c r="B47" s="2" t="n">
        <v>4</v>
      </c>
      <c r="C47" s="2" t="s">
        <v>46</v>
      </c>
      <c r="D47" s="8" t="n">
        <v>46082</v>
      </c>
      <c r="E47" s="9" t="n">
        <v>34633.6</v>
      </c>
      <c r="F47" s="9" t="n">
        <v>25422.23</v>
      </c>
      <c r="G47" s="9" t="n">
        <f aca="false">F47-E47</f>
        <v>-9211.37</v>
      </c>
    </row>
    <row r="48" customFormat="false" ht="15" hidden="false" customHeight="false" outlineLevel="0" collapsed="false">
      <c r="A48" s="2" t="n">
        <v>47</v>
      </c>
      <c r="B48" s="2" t="n">
        <v>4</v>
      </c>
      <c r="C48" s="2" t="s">
        <v>46</v>
      </c>
      <c r="D48" s="8" t="n">
        <v>46113</v>
      </c>
      <c r="E48" s="9" t="n">
        <v>33584.83</v>
      </c>
      <c r="F48" s="9" t="n">
        <v>43948.74</v>
      </c>
      <c r="G48" s="9" t="n">
        <f aca="false">F48-E48</f>
        <v>10363.91</v>
      </c>
    </row>
    <row r="49" customFormat="false" ht="15" hidden="false" customHeight="false" outlineLevel="0" collapsed="false">
      <c r="A49" s="2" t="n">
        <v>48</v>
      </c>
      <c r="B49" s="2" t="n">
        <v>4</v>
      </c>
      <c r="C49" s="2" t="s">
        <v>46</v>
      </c>
      <c r="D49" s="8" t="n">
        <v>46143</v>
      </c>
      <c r="E49" s="9" t="n">
        <v>33878.89</v>
      </c>
      <c r="F49" s="9" t="n">
        <v>38528.25</v>
      </c>
      <c r="G49" s="9" t="n">
        <f aca="false">F49-E49</f>
        <v>4649.36</v>
      </c>
    </row>
    <row r="50" customFormat="false" ht="15" hidden="false" customHeight="false" outlineLevel="0" collapsed="false">
      <c r="A50" s="2" t="n">
        <v>49</v>
      </c>
      <c r="B50" s="2" t="n">
        <v>5</v>
      </c>
      <c r="C50" s="2" t="s">
        <v>49</v>
      </c>
      <c r="D50" s="8" t="n">
        <v>45809</v>
      </c>
      <c r="E50" s="9" t="n">
        <v>5240.88</v>
      </c>
      <c r="F50" s="9" t="n">
        <v>1816.82</v>
      </c>
      <c r="G50" s="9" t="n">
        <f aca="false">F50-E50</f>
        <v>-3424.06</v>
      </c>
    </row>
    <row r="51" customFormat="false" ht="15" hidden="false" customHeight="false" outlineLevel="0" collapsed="false">
      <c r="A51" s="2" t="n">
        <v>50</v>
      </c>
      <c r="B51" s="2" t="n">
        <v>5</v>
      </c>
      <c r="C51" s="2" t="s">
        <v>49</v>
      </c>
      <c r="D51" s="8" t="n">
        <v>45839</v>
      </c>
      <c r="E51" s="9" t="n">
        <v>5188.71</v>
      </c>
      <c r="F51" s="9" t="n">
        <v>1789.56</v>
      </c>
      <c r="G51" s="9" t="n">
        <f aca="false">F51-E51</f>
        <v>-3399.15</v>
      </c>
    </row>
    <row r="52" customFormat="false" ht="15" hidden="false" customHeight="false" outlineLevel="0" collapsed="false">
      <c r="A52" s="2" t="n">
        <v>51</v>
      </c>
      <c r="B52" s="2" t="n">
        <v>5</v>
      </c>
      <c r="C52" s="2" t="s">
        <v>49</v>
      </c>
      <c r="D52" s="8" t="n">
        <v>45870</v>
      </c>
      <c r="E52" s="9" t="n">
        <v>5337.36</v>
      </c>
      <c r="F52" s="9" t="n">
        <v>2748.96</v>
      </c>
      <c r="G52" s="9" t="n">
        <f aca="false">F52-E52</f>
        <v>-2588.4</v>
      </c>
    </row>
    <row r="53" customFormat="false" ht="15" hidden="false" customHeight="false" outlineLevel="0" collapsed="false">
      <c r="A53" s="2" t="n">
        <v>52</v>
      </c>
      <c r="B53" s="2" t="n">
        <v>5</v>
      </c>
      <c r="C53" s="2" t="s">
        <v>49</v>
      </c>
      <c r="D53" s="8" t="n">
        <v>45901</v>
      </c>
      <c r="E53" s="9" t="n">
        <v>5322.99</v>
      </c>
      <c r="F53" s="9" t="n">
        <v>2076.65</v>
      </c>
      <c r="G53" s="9" t="n">
        <f aca="false">F53-E53</f>
        <v>-3246.34</v>
      </c>
    </row>
    <row r="54" customFormat="false" ht="15" hidden="false" customHeight="false" outlineLevel="0" collapsed="false">
      <c r="A54" s="2" t="n">
        <v>53</v>
      </c>
      <c r="B54" s="2" t="n">
        <v>5</v>
      </c>
      <c r="C54" s="2" t="s">
        <v>49</v>
      </c>
      <c r="D54" s="8" t="n">
        <v>45931</v>
      </c>
      <c r="E54" s="9" t="n">
        <v>5082.81</v>
      </c>
      <c r="F54" s="9" t="n">
        <v>1392.69</v>
      </c>
      <c r="G54" s="9" t="n">
        <f aca="false">F54-E54</f>
        <v>-3690.12</v>
      </c>
    </row>
    <row r="55" customFormat="false" ht="15" hidden="false" customHeight="false" outlineLevel="0" collapsed="false">
      <c r="A55" s="2" t="n">
        <v>54</v>
      </c>
      <c r="B55" s="2" t="n">
        <v>5</v>
      </c>
      <c r="C55" s="2" t="s">
        <v>49</v>
      </c>
      <c r="D55" s="8" t="n">
        <v>45962</v>
      </c>
      <c r="E55" s="9" t="n">
        <v>4887.24</v>
      </c>
      <c r="F55" s="9" t="n">
        <v>1731.97</v>
      </c>
      <c r="G55" s="9" t="n">
        <f aca="false">F55-E55</f>
        <v>-3155.27</v>
      </c>
    </row>
    <row r="56" customFormat="false" ht="15" hidden="false" customHeight="false" outlineLevel="0" collapsed="false">
      <c r="A56" s="2" t="n">
        <v>55</v>
      </c>
      <c r="B56" s="2" t="n">
        <v>5</v>
      </c>
      <c r="C56" s="2" t="s">
        <v>49</v>
      </c>
      <c r="D56" s="8" t="n">
        <v>45992</v>
      </c>
      <c r="E56" s="9" t="n">
        <v>4676.89</v>
      </c>
      <c r="F56" s="9" t="n">
        <v>2057.83</v>
      </c>
      <c r="G56" s="9" t="n">
        <f aca="false">F56-E56</f>
        <v>-2619.06</v>
      </c>
    </row>
    <row r="57" customFormat="false" ht="15" hidden="false" customHeight="false" outlineLevel="0" collapsed="false">
      <c r="A57" s="2" t="n">
        <v>56</v>
      </c>
      <c r="B57" s="2" t="n">
        <v>5</v>
      </c>
      <c r="C57" s="2" t="s">
        <v>49</v>
      </c>
      <c r="D57" s="8" t="n">
        <v>46023</v>
      </c>
      <c r="E57" s="9" t="n">
        <v>4893.97</v>
      </c>
      <c r="F57" s="9" t="n">
        <v>2082.94</v>
      </c>
      <c r="G57" s="9" t="n">
        <f aca="false">F57-E57</f>
        <v>-2811.03</v>
      </c>
    </row>
    <row r="58" customFormat="false" ht="15" hidden="false" customHeight="false" outlineLevel="0" collapsed="false">
      <c r="A58" s="2" t="n">
        <v>57</v>
      </c>
      <c r="B58" s="2" t="n">
        <v>5</v>
      </c>
      <c r="C58" s="2" t="s">
        <v>49</v>
      </c>
      <c r="D58" s="8" t="n">
        <v>46054</v>
      </c>
      <c r="E58" s="9" t="n">
        <v>4759.9</v>
      </c>
      <c r="F58" s="9" t="n">
        <v>2525.36</v>
      </c>
      <c r="G58" s="9" t="n">
        <f aca="false">F58-E58</f>
        <v>-2234.54</v>
      </c>
    </row>
    <row r="59" customFormat="false" ht="15" hidden="false" customHeight="false" outlineLevel="0" collapsed="false">
      <c r="A59" s="2" t="n">
        <v>58</v>
      </c>
      <c r="B59" s="2" t="n">
        <v>5</v>
      </c>
      <c r="C59" s="2" t="s">
        <v>49</v>
      </c>
      <c r="D59" s="8" t="n">
        <v>46082</v>
      </c>
      <c r="E59" s="9" t="n">
        <v>4956.35</v>
      </c>
      <c r="F59" s="9" t="n">
        <v>3080.74</v>
      </c>
      <c r="G59" s="9" t="n">
        <f aca="false">F59-E59</f>
        <v>-1875.61</v>
      </c>
    </row>
    <row r="60" customFormat="false" ht="15" hidden="false" customHeight="false" outlineLevel="0" collapsed="false">
      <c r="A60" s="2" t="n">
        <v>59</v>
      </c>
      <c r="B60" s="2" t="n">
        <v>5</v>
      </c>
      <c r="C60" s="2" t="s">
        <v>49</v>
      </c>
      <c r="D60" s="8" t="n">
        <v>46113</v>
      </c>
      <c r="E60" s="9" t="n">
        <v>4910.47</v>
      </c>
      <c r="F60" s="9" t="n">
        <v>1634.21</v>
      </c>
      <c r="G60" s="9" t="n">
        <f aca="false">F60-E60</f>
        <v>-3276.26</v>
      </c>
    </row>
    <row r="61" customFormat="false" ht="15" hidden="false" customHeight="false" outlineLevel="0" collapsed="false">
      <c r="A61" s="2" t="n">
        <v>60</v>
      </c>
      <c r="B61" s="2" t="n">
        <v>5</v>
      </c>
      <c r="C61" s="2" t="s">
        <v>49</v>
      </c>
      <c r="D61" s="8" t="n">
        <v>46143</v>
      </c>
      <c r="E61" s="9" t="n">
        <v>4814.78</v>
      </c>
      <c r="F61" s="9" t="n">
        <v>1895.23</v>
      </c>
      <c r="G61" s="9" t="n">
        <f aca="false">F61-E61</f>
        <v>-2919.55</v>
      </c>
    </row>
    <row r="62" customFormat="false" ht="15" hidden="false" customHeight="false" outlineLevel="0" collapsed="false">
      <c r="A62" s="2" t="n">
        <v>61</v>
      </c>
      <c r="B62" s="2" t="n">
        <v>6</v>
      </c>
      <c r="C62" s="2" t="s">
        <v>52</v>
      </c>
      <c r="D62" s="8" t="n">
        <v>45809</v>
      </c>
      <c r="E62" s="9" t="n">
        <v>33478.82</v>
      </c>
      <c r="F62" s="9" t="n">
        <v>16049.35</v>
      </c>
      <c r="G62" s="9" t="n">
        <f aca="false">F62-E62</f>
        <v>-17429.47</v>
      </c>
    </row>
    <row r="63" customFormat="false" ht="15" hidden="false" customHeight="false" outlineLevel="0" collapsed="false">
      <c r="A63" s="2" t="n">
        <v>62</v>
      </c>
      <c r="B63" s="2" t="n">
        <v>6</v>
      </c>
      <c r="C63" s="2" t="s">
        <v>52</v>
      </c>
      <c r="D63" s="8" t="n">
        <v>45839</v>
      </c>
      <c r="E63" s="9" t="n">
        <v>34118.54</v>
      </c>
      <c r="F63" s="9" t="n">
        <v>22396.99</v>
      </c>
      <c r="G63" s="9" t="n">
        <f aca="false">F63-E63</f>
        <v>-11721.55</v>
      </c>
    </row>
    <row r="64" customFormat="false" ht="15" hidden="false" customHeight="false" outlineLevel="0" collapsed="false">
      <c r="A64" s="2" t="n">
        <v>63</v>
      </c>
      <c r="B64" s="2" t="n">
        <v>6</v>
      </c>
      <c r="C64" s="2" t="s">
        <v>52</v>
      </c>
      <c r="D64" s="8" t="n">
        <v>45870</v>
      </c>
      <c r="E64" s="9" t="n">
        <v>31114.51</v>
      </c>
      <c r="F64" s="9" t="n">
        <v>21359.78</v>
      </c>
      <c r="G64" s="9" t="n">
        <f aca="false">F64-E64</f>
        <v>-9754.73</v>
      </c>
    </row>
    <row r="65" customFormat="false" ht="15" hidden="false" customHeight="false" outlineLevel="0" collapsed="false">
      <c r="A65" s="2" t="n">
        <v>64</v>
      </c>
      <c r="B65" s="2" t="n">
        <v>6</v>
      </c>
      <c r="C65" s="2" t="s">
        <v>52</v>
      </c>
      <c r="D65" s="8" t="n">
        <v>45901</v>
      </c>
      <c r="E65" s="9" t="n">
        <v>33163.84</v>
      </c>
      <c r="F65" s="9" t="n">
        <v>17885.63</v>
      </c>
      <c r="G65" s="9" t="n">
        <f aca="false">F65-E65</f>
        <v>-15278.21</v>
      </c>
    </row>
    <row r="66" customFormat="false" ht="15" hidden="false" customHeight="false" outlineLevel="0" collapsed="false">
      <c r="A66" s="2" t="n">
        <v>65</v>
      </c>
      <c r="B66" s="2" t="n">
        <v>6</v>
      </c>
      <c r="C66" s="2" t="s">
        <v>52</v>
      </c>
      <c r="D66" s="8" t="n">
        <v>45931</v>
      </c>
      <c r="E66" s="9" t="n">
        <v>31088.98</v>
      </c>
      <c r="F66" s="9" t="n">
        <v>26372.92</v>
      </c>
      <c r="G66" s="9" t="n">
        <f aca="false">F66-E66</f>
        <v>-4716.06</v>
      </c>
    </row>
    <row r="67" customFormat="false" ht="15" hidden="false" customHeight="false" outlineLevel="0" collapsed="false">
      <c r="A67" s="2" t="n">
        <v>66</v>
      </c>
      <c r="B67" s="2" t="n">
        <v>6</v>
      </c>
      <c r="C67" s="2" t="s">
        <v>52</v>
      </c>
      <c r="D67" s="8" t="n">
        <v>45962</v>
      </c>
      <c r="E67" s="9" t="n">
        <v>34941.57</v>
      </c>
      <c r="F67" s="9" t="n">
        <v>16101.41</v>
      </c>
      <c r="G67" s="9" t="n">
        <f aca="false">F67-E67</f>
        <v>-18840.16</v>
      </c>
    </row>
    <row r="68" customFormat="false" ht="15" hidden="false" customHeight="false" outlineLevel="0" collapsed="false">
      <c r="A68" s="2" t="n">
        <v>67</v>
      </c>
      <c r="B68" s="2" t="n">
        <v>6</v>
      </c>
      <c r="C68" s="2" t="s">
        <v>52</v>
      </c>
      <c r="D68" s="8" t="n">
        <v>45992</v>
      </c>
      <c r="E68" s="9" t="n">
        <v>32268.76</v>
      </c>
      <c r="F68" s="9" t="n">
        <v>24131.48</v>
      </c>
      <c r="G68" s="9" t="n">
        <f aca="false">F68-E68</f>
        <v>-8137.28</v>
      </c>
    </row>
    <row r="69" customFormat="false" ht="15" hidden="false" customHeight="false" outlineLevel="0" collapsed="false">
      <c r="A69" s="2" t="n">
        <v>68</v>
      </c>
      <c r="B69" s="2" t="n">
        <v>6</v>
      </c>
      <c r="C69" s="2" t="s">
        <v>52</v>
      </c>
      <c r="D69" s="8" t="n">
        <v>46023</v>
      </c>
      <c r="E69" s="9" t="n">
        <v>35915.66</v>
      </c>
      <c r="F69" s="9" t="n">
        <v>32916.76</v>
      </c>
      <c r="G69" s="9" t="n">
        <f aca="false">F69-E69</f>
        <v>-2998.9</v>
      </c>
    </row>
    <row r="70" customFormat="false" ht="15" hidden="false" customHeight="false" outlineLevel="0" collapsed="false">
      <c r="A70" s="2" t="n">
        <v>69</v>
      </c>
      <c r="B70" s="2" t="n">
        <v>6</v>
      </c>
      <c r="C70" s="2" t="s">
        <v>52</v>
      </c>
      <c r="D70" s="8" t="n">
        <v>46054</v>
      </c>
      <c r="E70" s="9" t="n">
        <v>34316.34</v>
      </c>
      <c r="F70" s="9" t="n">
        <v>27246.88</v>
      </c>
      <c r="G70" s="9" t="n">
        <f aca="false">F70-E70</f>
        <v>-7069.46</v>
      </c>
    </row>
    <row r="71" customFormat="false" ht="15" hidden="false" customHeight="false" outlineLevel="0" collapsed="false">
      <c r="A71" s="2" t="n">
        <v>70</v>
      </c>
      <c r="B71" s="2" t="n">
        <v>6</v>
      </c>
      <c r="C71" s="2" t="s">
        <v>52</v>
      </c>
      <c r="D71" s="8" t="n">
        <v>46082</v>
      </c>
      <c r="E71" s="9" t="n">
        <v>32268.85</v>
      </c>
      <c r="F71" s="9" t="n">
        <v>26696.2</v>
      </c>
      <c r="G71" s="9" t="n">
        <f aca="false">F71-E71</f>
        <v>-5572.65</v>
      </c>
    </row>
    <row r="72" customFormat="false" ht="15" hidden="false" customHeight="false" outlineLevel="0" collapsed="false">
      <c r="A72" s="2" t="n">
        <v>71</v>
      </c>
      <c r="B72" s="2" t="n">
        <v>6</v>
      </c>
      <c r="C72" s="2" t="s">
        <v>52</v>
      </c>
      <c r="D72" s="8" t="n">
        <v>46113</v>
      </c>
      <c r="E72" s="9" t="n">
        <v>31992.82</v>
      </c>
      <c r="F72" s="9" t="n">
        <v>27957.36</v>
      </c>
      <c r="G72" s="9" t="n">
        <f aca="false">F72-E72</f>
        <v>-4035.46</v>
      </c>
    </row>
    <row r="73" customFormat="false" ht="15" hidden="false" customHeight="false" outlineLevel="0" collapsed="false">
      <c r="A73" s="2" t="n">
        <v>72</v>
      </c>
      <c r="B73" s="2" t="n">
        <v>6</v>
      </c>
      <c r="C73" s="2" t="s">
        <v>52</v>
      </c>
      <c r="D73" s="8" t="n">
        <v>46143</v>
      </c>
      <c r="E73" s="9" t="n">
        <v>32947.9</v>
      </c>
      <c r="F73" s="9" t="n">
        <v>32102.96</v>
      </c>
      <c r="G73" s="9" t="n">
        <f aca="false">F73-E73</f>
        <v>-844.940000000002</v>
      </c>
    </row>
    <row r="74" customFormat="false" ht="15" hidden="false" customHeight="false" outlineLevel="0" collapsed="false">
      <c r="A74" s="2" t="n">
        <v>73</v>
      </c>
      <c r="B74" s="2" t="n">
        <v>7</v>
      </c>
      <c r="C74" s="2" t="s">
        <v>53</v>
      </c>
      <c r="D74" s="8" t="n">
        <v>45809</v>
      </c>
      <c r="E74" s="9" t="n">
        <v>25962.06</v>
      </c>
      <c r="F74" s="9" t="n">
        <v>12118.67</v>
      </c>
      <c r="G74" s="9" t="n">
        <f aca="false">F74-E74</f>
        <v>-13843.39</v>
      </c>
    </row>
    <row r="75" customFormat="false" ht="15" hidden="false" customHeight="false" outlineLevel="0" collapsed="false">
      <c r="A75" s="2" t="n">
        <v>74</v>
      </c>
      <c r="B75" s="2" t="n">
        <v>7</v>
      </c>
      <c r="C75" s="2" t="s">
        <v>53</v>
      </c>
      <c r="D75" s="8" t="n">
        <v>45839</v>
      </c>
      <c r="E75" s="9" t="n">
        <v>24851.52</v>
      </c>
      <c r="F75" s="9" t="n">
        <v>15530.8</v>
      </c>
      <c r="G75" s="9" t="n">
        <f aca="false">F75-E75</f>
        <v>-9320.72</v>
      </c>
    </row>
    <row r="76" customFormat="false" ht="15" hidden="false" customHeight="false" outlineLevel="0" collapsed="false">
      <c r="A76" s="2" t="n">
        <v>75</v>
      </c>
      <c r="B76" s="2" t="n">
        <v>7</v>
      </c>
      <c r="C76" s="2" t="s">
        <v>53</v>
      </c>
      <c r="D76" s="8" t="n">
        <v>45870</v>
      </c>
      <c r="E76" s="9" t="n">
        <v>26144.71</v>
      </c>
      <c r="F76" s="9" t="n">
        <v>11768.62</v>
      </c>
      <c r="G76" s="9" t="n">
        <f aca="false">F76-E76</f>
        <v>-14376.09</v>
      </c>
    </row>
    <row r="77" customFormat="false" ht="15" hidden="false" customHeight="false" outlineLevel="0" collapsed="false">
      <c r="A77" s="2" t="n">
        <v>76</v>
      </c>
      <c r="B77" s="2" t="n">
        <v>7</v>
      </c>
      <c r="C77" s="2" t="s">
        <v>53</v>
      </c>
      <c r="D77" s="8" t="n">
        <v>45901</v>
      </c>
      <c r="E77" s="9" t="n">
        <v>26371.64</v>
      </c>
      <c r="F77" s="9" t="n">
        <v>11742.88</v>
      </c>
      <c r="G77" s="9" t="n">
        <f aca="false">F77-E77</f>
        <v>-14628.76</v>
      </c>
    </row>
    <row r="78" customFormat="false" ht="15" hidden="false" customHeight="false" outlineLevel="0" collapsed="false">
      <c r="A78" s="2" t="n">
        <v>77</v>
      </c>
      <c r="B78" s="2" t="n">
        <v>7</v>
      </c>
      <c r="C78" s="2" t="s">
        <v>53</v>
      </c>
      <c r="D78" s="8" t="n">
        <v>45931</v>
      </c>
      <c r="E78" s="9" t="n">
        <v>23181.03</v>
      </c>
      <c r="F78" s="9" t="n">
        <v>10833.44</v>
      </c>
      <c r="G78" s="9" t="n">
        <f aca="false">F78-E78</f>
        <v>-12347.59</v>
      </c>
    </row>
    <row r="79" customFormat="false" ht="15" hidden="false" customHeight="false" outlineLevel="0" collapsed="false">
      <c r="A79" s="2" t="n">
        <v>78</v>
      </c>
      <c r="B79" s="2" t="n">
        <v>7</v>
      </c>
      <c r="C79" s="2" t="s">
        <v>53</v>
      </c>
      <c r="D79" s="8" t="n">
        <v>45962</v>
      </c>
      <c r="E79" s="9" t="n">
        <v>24665.01</v>
      </c>
      <c r="F79" s="9" t="n">
        <v>11314.44</v>
      </c>
      <c r="G79" s="9" t="n">
        <f aca="false">F79-E79</f>
        <v>-13350.57</v>
      </c>
    </row>
    <row r="80" customFormat="false" ht="15" hidden="false" customHeight="false" outlineLevel="0" collapsed="false">
      <c r="A80" s="2" t="n">
        <v>79</v>
      </c>
      <c r="B80" s="2" t="n">
        <v>7</v>
      </c>
      <c r="C80" s="2" t="s">
        <v>53</v>
      </c>
      <c r="D80" s="8" t="n">
        <v>45992</v>
      </c>
      <c r="E80" s="9" t="n">
        <v>25817.51</v>
      </c>
      <c r="F80" s="9" t="n">
        <v>13695.83</v>
      </c>
      <c r="G80" s="9" t="n">
        <f aca="false">F80-E80</f>
        <v>-12121.68</v>
      </c>
    </row>
    <row r="81" customFormat="false" ht="15" hidden="false" customHeight="false" outlineLevel="0" collapsed="false">
      <c r="A81" s="2" t="n">
        <v>80</v>
      </c>
      <c r="B81" s="2" t="n">
        <v>7</v>
      </c>
      <c r="C81" s="2" t="s">
        <v>53</v>
      </c>
      <c r="D81" s="8" t="n">
        <v>46023</v>
      </c>
      <c r="E81" s="9" t="n">
        <v>24255.79</v>
      </c>
      <c r="F81" s="9" t="n">
        <v>14557.6</v>
      </c>
      <c r="G81" s="9" t="n">
        <f aca="false">F81-E81</f>
        <v>-9698.19</v>
      </c>
    </row>
    <row r="82" customFormat="false" ht="15" hidden="false" customHeight="false" outlineLevel="0" collapsed="false">
      <c r="A82" s="2" t="n">
        <v>81</v>
      </c>
      <c r="B82" s="2" t="n">
        <v>7</v>
      </c>
      <c r="C82" s="2" t="s">
        <v>53</v>
      </c>
      <c r="D82" s="8" t="n">
        <v>46054</v>
      </c>
      <c r="E82" s="9" t="n">
        <v>25896.38</v>
      </c>
      <c r="F82" s="9" t="n">
        <v>10297.26</v>
      </c>
      <c r="G82" s="9" t="n">
        <f aca="false">F82-E82</f>
        <v>-15599.12</v>
      </c>
    </row>
    <row r="83" customFormat="false" ht="15" hidden="false" customHeight="false" outlineLevel="0" collapsed="false">
      <c r="A83" s="2" t="n">
        <v>82</v>
      </c>
      <c r="B83" s="2" t="n">
        <v>7</v>
      </c>
      <c r="C83" s="2" t="s">
        <v>53</v>
      </c>
      <c r="D83" s="8" t="n">
        <v>46082</v>
      </c>
      <c r="E83" s="9" t="n">
        <v>26029.42</v>
      </c>
      <c r="F83" s="9" t="n">
        <v>12440.72</v>
      </c>
      <c r="G83" s="9" t="n">
        <f aca="false">F83-E83</f>
        <v>-13588.7</v>
      </c>
    </row>
    <row r="84" customFormat="false" ht="15" hidden="false" customHeight="false" outlineLevel="0" collapsed="false">
      <c r="A84" s="2" t="n">
        <v>83</v>
      </c>
      <c r="B84" s="2" t="n">
        <v>7</v>
      </c>
      <c r="C84" s="2" t="s">
        <v>53</v>
      </c>
      <c r="D84" s="8" t="n">
        <v>46113</v>
      </c>
      <c r="E84" s="9" t="n">
        <v>24799.79</v>
      </c>
      <c r="F84" s="9" t="n">
        <v>14146.09</v>
      </c>
      <c r="G84" s="9" t="n">
        <f aca="false">F84-E84</f>
        <v>-10653.7</v>
      </c>
    </row>
    <row r="85" customFormat="false" ht="15" hidden="false" customHeight="false" outlineLevel="0" collapsed="false">
      <c r="A85" s="2" t="n">
        <v>84</v>
      </c>
      <c r="B85" s="2" t="n">
        <v>7</v>
      </c>
      <c r="C85" s="2" t="s">
        <v>53</v>
      </c>
      <c r="D85" s="8" t="n">
        <v>46143</v>
      </c>
      <c r="E85" s="9" t="n">
        <v>26231.34</v>
      </c>
      <c r="F85" s="9" t="n">
        <v>7137.74</v>
      </c>
      <c r="G85" s="9" t="n">
        <f aca="false">F85-E85</f>
        <v>-19093.6</v>
      </c>
    </row>
    <row r="86" customFormat="false" ht="15" hidden="false" customHeight="false" outlineLevel="0" collapsed="false">
      <c r="A86" s="2" t="n">
        <v>85</v>
      </c>
      <c r="B86" s="2" t="n">
        <v>8</v>
      </c>
      <c r="C86" s="2" t="s">
        <v>55</v>
      </c>
      <c r="D86" s="8" t="n">
        <v>45809</v>
      </c>
      <c r="E86" s="9" t="n">
        <v>24840.65</v>
      </c>
      <c r="F86" s="9" t="n">
        <v>15628.08</v>
      </c>
      <c r="G86" s="9" t="n">
        <f aca="false">F86-E86</f>
        <v>-9212.57</v>
      </c>
    </row>
    <row r="87" customFormat="false" ht="15" hidden="false" customHeight="false" outlineLevel="0" collapsed="false">
      <c r="A87" s="2" t="n">
        <v>86</v>
      </c>
      <c r="B87" s="2" t="n">
        <v>8</v>
      </c>
      <c r="C87" s="2" t="s">
        <v>55</v>
      </c>
      <c r="D87" s="8" t="n">
        <v>45839</v>
      </c>
      <c r="E87" s="9" t="n">
        <v>24620.37</v>
      </c>
      <c r="F87" s="9" t="n">
        <v>14615.27</v>
      </c>
      <c r="G87" s="9" t="n">
        <f aca="false">F87-E87</f>
        <v>-10005.1</v>
      </c>
    </row>
    <row r="88" customFormat="false" ht="15" hidden="false" customHeight="false" outlineLevel="0" collapsed="false">
      <c r="A88" s="2" t="n">
        <v>87</v>
      </c>
      <c r="B88" s="2" t="n">
        <v>8</v>
      </c>
      <c r="C88" s="2" t="s">
        <v>55</v>
      </c>
      <c r="D88" s="8" t="n">
        <v>45870</v>
      </c>
      <c r="E88" s="9" t="n">
        <v>25630.87</v>
      </c>
      <c r="F88" s="9" t="n">
        <v>9003.99</v>
      </c>
      <c r="G88" s="9" t="n">
        <f aca="false">F88-E88</f>
        <v>-16626.88</v>
      </c>
    </row>
    <row r="89" customFormat="false" ht="15" hidden="false" customHeight="false" outlineLevel="0" collapsed="false">
      <c r="A89" s="2" t="n">
        <v>88</v>
      </c>
      <c r="B89" s="2" t="n">
        <v>8</v>
      </c>
      <c r="C89" s="2" t="s">
        <v>55</v>
      </c>
      <c r="D89" s="8" t="n">
        <v>45901</v>
      </c>
      <c r="E89" s="9" t="n">
        <v>25976.99</v>
      </c>
      <c r="F89" s="9" t="n">
        <v>7759.37</v>
      </c>
      <c r="G89" s="9" t="n">
        <f aca="false">F89-E89</f>
        <v>-18217.62</v>
      </c>
    </row>
    <row r="90" customFormat="false" ht="15" hidden="false" customHeight="false" outlineLevel="0" collapsed="false">
      <c r="A90" s="2" t="n">
        <v>89</v>
      </c>
      <c r="B90" s="2" t="n">
        <v>8</v>
      </c>
      <c r="C90" s="2" t="s">
        <v>55</v>
      </c>
      <c r="D90" s="8" t="n">
        <v>45931</v>
      </c>
      <c r="E90" s="9" t="n">
        <v>25903.65</v>
      </c>
      <c r="F90" s="9" t="n">
        <v>16228.38</v>
      </c>
      <c r="G90" s="9" t="n">
        <f aca="false">F90-E90</f>
        <v>-9675.27</v>
      </c>
    </row>
    <row r="91" customFormat="false" ht="15" hidden="false" customHeight="false" outlineLevel="0" collapsed="false">
      <c r="A91" s="2" t="n">
        <v>90</v>
      </c>
      <c r="B91" s="2" t="n">
        <v>8</v>
      </c>
      <c r="C91" s="2" t="s">
        <v>55</v>
      </c>
      <c r="D91" s="8" t="n">
        <v>45962</v>
      </c>
      <c r="E91" s="9" t="n">
        <v>24211.2</v>
      </c>
      <c r="F91" s="9" t="n">
        <v>9456.02</v>
      </c>
      <c r="G91" s="9" t="n">
        <f aca="false">F91-E91</f>
        <v>-14755.18</v>
      </c>
    </row>
    <row r="92" customFormat="false" ht="15" hidden="false" customHeight="false" outlineLevel="0" collapsed="false">
      <c r="A92" s="2" t="n">
        <v>91</v>
      </c>
      <c r="B92" s="2" t="n">
        <v>8</v>
      </c>
      <c r="C92" s="2" t="s">
        <v>55</v>
      </c>
      <c r="D92" s="8" t="n">
        <v>45992</v>
      </c>
      <c r="E92" s="9" t="n">
        <v>26252.53</v>
      </c>
      <c r="F92" s="9" t="n">
        <v>13335.53</v>
      </c>
      <c r="G92" s="9" t="n">
        <f aca="false">F92-E92</f>
        <v>-12917</v>
      </c>
    </row>
    <row r="93" customFormat="false" ht="15" hidden="false" customHeight="false" outlineLevel="0" collapsed="false">
      <c r="A93" s="2" t="n">
        <v>92</v>
      </c>
      <c r="B93" s="2" t="n">
        <v>8</v>
      </c>
      <c r="C93" s="2" t="s">
        <v>55</v>
      </c>
      <c r="D93" s="8" t="n">
        <v>46023</v>
      </c>
      <c r="E93" s="9" t="n">
        <v>25466.98</v>
      </c>
      <c r="F93" s="9" t="n">
        <v>11090.69</v>
      </c>
      <c r="G93" s="9" t="n">
        <f aca="false">F93-E93</f>
        <v>-14376.29</v>
      </c>
    </row>
    <row r="94" customFormat="false" ht="15" hidden="false" customHeight="false" outlineLevel="0" collapsed="false">
      <c r="A94" s="2" t="n">
        <v>93</v>
      </c>
      <c r="B94" s="2" t="n">
        <v>8</v>
      </c>
      <c r="C94" s="2" t="s">
        <v>55</v>
      </c>
      <c r="D94" s="8" t="n">
        <v>46054</v>
      </c>
      <c r="E94" s="9" t="n">
        <v>25762.65</v>
      </c>
      <c r="F94" s="9" t="n">
        <v>7194.39</v>
      </c>
      <c r="G94" s="9" t="n">
        <f aca="false">F94-E94</f>
        <v>-18568.26</v>
      </c>
    </row>
    <row r="95" customFormat="false" ht="15" hidden="false" customHeight="false" outlineLevel="0" collapsed="false">
      <c r="A95" s="2" t="n">
        <v>94</v>
      </c>
      <c r="B95" s="2" t="n">
        <v>8</v>
      </c>
      <c r="C95" s="2" t="s">
        <v>55</v>
      </c>
      <c r="D95" s="8" t="n">
        <v>46082</v>
      </c>
      <c r="E95" s="9" t="n">
        <v>26852.57</v>
      </c>
      <c r="F95" s="9" t="n">
        <v>10726.57</v>
      </c>
      <c r="G95" s="9" t="n">
        <f aca="false">F95-E95</f>
        <v>-16126</v>
      </c>
    </row>
    <row r="96" customFormat="false" ht="15" hidden="false" customHeight="false" outlineLevel="0" collapsed="false">
      <c r="A96" s="2" t="n">
        <v>95</v>
      </c>
      <c r="B96" s="2" t="n">
        <v>8</v>
      </c>
      <c r="C96" s="2" t="s">
        <v>55</v>
      </c>
      <c r="D96" s="8" t="n">
        <v>46113</v>
      </c>
      <c r="E96" s="9" t="n">
        <v>25700.41</v>
      </c>
      <c r="F96" s="9" t="n">
        <v>7151.19</v>
      </c>
      <c r="G96" s="9" t="n">
        <f aca="false">F96-E96</f>
        <v>-18549.22</v>
      </c>
    </row>
    <row r="97" customFormat="false" ht="15" hidden="false" customHeight="false" outlineLevel="0" collapsed="false">
      <c r="A97" s="2" t="n">
        <v>96</v>
      </c>
      <c r="B97" s="2" t="n">
        <v>8</v>
      </c>
      <c r="C97" s="2" t="s">
        <v>55</v>
      </c>
      <c r="D97" s="8" t="n">
        <v>46143</v>
      </c>
      <c r="E97" s="9" t="n">
        <v>26218.56</v>
      </c>
      <c r="F97" s="9" t="n">
        <v>13170.57</v>
      </c>
      <c r="G97" s="9" t="n">
        <f aca="false">F97-E97</f>
        <v>-13047.99</v>
      </c>
    </row>
    <row r="98" customFormat="false" ht="15" hidden="false" customHeight="false" outlineLevel="0" collapsed="false">
      <c r="A98" s="2" t="n">
        <v>97</v>
      </c>
      <c r="B98" s="2" t="n">
        <v>9</v>
      </c>
      <c r="C98" s="2" t="s">
        <v>58</v>
      </c>
      <c r="D98" s="8" t="n">
        <v>45809</v>
      </c>
      <c r="E98" s="9" t="n">
        <v>9337.75</v>
      </c>
      <c r="F98" s="9" t="n">
        <v>8382.61</v>
      </c>
      <c r="G98" s="9" t="n">
        <f aca="false">F98-E98</f>
        <v>-955.139999999999</v>
      </c>
    </row>
    <row r="99" customFormat="false" ht="15" hidden="false" customHeight="false" outlineLevel="0" collapsed="false">
      <c r="A99" s="2" t="n">
        <v>98</v>
      </c>
      <c r="B99" s="2" t="n">
        <v>9</v>
      </c>
      <c r="C99" s="2" t="s">
        <v>58</v>
      </c>
      <c r="D99" s="8" t="n">
        <v>45839</v>
      </c>
      <c r="E99" s="9" t="n">
        <v>10431.55</v>
      </c>
      <c r="F99" s="9" t="n">
        <v>8910.01</v>
      </c>
      <c r="G99" s="9" t="n">
        <f aca="false">F99-E99</f>
        <v>-1521.54</v>
      </c>
    </row>
    <row r="100" customFormat="false" ht="15" hidden="false" customHeight="false" outlineLevel="0" collapsed="false">
      <c r="A100" s="2" t="n">
        <v>99</v>
      </c>
      <c r="B100" s="2" t="n">
        <v>9</v>
      </c>
      <c r="C100" s="2" t="s">
        <v>58</v>
      </c>
      <c r="D100" s="8" t="n">
        <v>45870</v>
      </c>
      <c r="E100" s="9" t="n">
        <v>9437.07</v>
      </c>
      <c r="F100" s="9" t="n">
        <v>14830.75</v>
      </c>
      <c r="G100" s="9" t="n">
        <f aca="false">F100-E100</f>
        <v>5393.68</v>
      </c>
    </row>
    <row r="101" customFormat="false" ht="15" hidden="false" customHeight="false" outlineLevel="0" collapsed="false">
      <c r="A101" s="2" t="n">
        <v>100</v>
      </c>
      <c r="B101" s="2" t="n">
        <v>9</v>
      </c>
      <c r="C101" s="2" t="s">
        <v>58</v>
      </c>
      <c r="D101" s="8" t="n">
        <v>45901</v>
      </c>
      <c r="E101" s="9" t="n">
        <v>9875.01</v>
      </c>
      <c r="F101" s="9" t="n">
        <v>13694.88</v>
      </c>
      <c r="G101" s="9" t="n">
        <f aca="false">F101-E101</f>
        <v>3819.87</v>
      </c>
    </row>
    <row r="102" customFormat="false" ht="15" hidden="false" customHeight="false" outlineLevel="0" collapsed="false">
      <c r="A102" s="2" t="n">
        <v>101</v>
      </c>
      <c r="B102" s="2" t="n">
        <v>9</v>
      </c>
      <c r="C102" s="2" t="s">
        <v>58</v>
      </c>
      <c r="D102" s="8" t="n">
        <v>45931</v>
      </c>
      <c r="E102" s="9" t="n">
        <v>9386.33</v>
      </c>
      <c r="F102" s="9" t="n">
        <v>8885.57</v>
      </c>
      <c r="G102" s="9" t="n">
        <f aca="false">F102-E102</f>
        <v>-500.76</v>
      </c>
    </row>
    <row r="103" customFormat="false" ht="15" hidden="false" customHeight="false" outlineLevel="0" collapsed="false">
      <c r="A103" s="2" t="n">
        <v>102</v>
      </c>
      <c r="B103" s="2" t="n">
        <v>9</v>
      </c>
      <c r="C103" s="2" t="s">
        <v>58</v>
      </c>
      <c r="D103" s="8" t="n">
        <v>45962</v>
      </c>
      <c r="E103" s="9" t="n">
        <v>10643.86</v>
      </c>
      <c r="F103" s="9" t="n">
        <v>7356.95</v>
      </c>
      <c r="G103" s="9" t="n">
        <f aca="false">F103-E103</f>
        <v>-3286.91</v>
      </c>
    </row>
    <row r="104" customFormat="false" ht="15" hidden="false" customHeight="false" outlineLevel="0" collapsed="false">
      <c r="A104" s="2" t="n">
        <v>103</v>
      </c>
      <c r="B104" s="2" t="n">
        <v>9</v>
      </c>
      <c r="C104" s="2" t="s">
        <v>58</v>
      </c>
      <c r="D104" s="8" t="n">
        <v>45992</v>
      </c>
      <c r="E104" s="9" t="n">
        <v>10382.05</v>
      </c>
      <c r="F104" s="9" t="n">
        <v>11659.49</v>
      </c>
      <c r="G104" s="9" t="n">
        <f aca="false">F104-E104</f>
        <v>1277.44</v>
      </c>
    </row>
    <row r="105" customFormat="false" ht="15" hidden="false" customHeight="false" outlineLevel="0" collapsed="false">
      <c r="A105" s="2" t="n">
        <v>104</v>
      </c>
      <c r="B105" s="2" t="n">
        <v>9</v>
      </c>
      <c r="C105" s="2" t="s">
        <v>58</v>
      </c>
      <c r="D105" s="8" t="n">
        <v>46023</v>
      </c>
      <c r="E105" s="9" t="n">
        <v>9912.43</v>
      </c>
      <c r="F105" s="9" t="n">
        <v>8477.7</v>
      </c>
      <c r="G105" s="9" t="n">
        <f aca="false">F105-E105</f>
        <v>-1434.73</v>
      </c>
    </row>
    <row r="106" customFormat="false" ht="15" hidden="false" customHeight="false" outlineLevel="0" collapsed="false">
      <c r="A106" s="2" t="n">
        <v>105</v>
      </c>
      <c r="B106" s="2" t="n">
        <v>9</v>
      </c>
      <c r="C106" s="2" t="s">
        <v>58</v>
      </c>
      <c r="D106" s="8" t="n">
        <v>46054</v>
      </c>
      <c r="E106" s="9" t="n">
        <v>9976.07</v>
      </c>
      <c r="F106" s="9" t="n">
        <v>9392.81</v>
      </c>
      <c r="G106" s="9" t="n">
        <f aca="false">F106-E106</f>
        <v>-583.26</v>
      </c>
    </row>
    <row r="107" customFormat="false" ht="15" hidden="false" customHeight="false" outlineLevel="0" collapsed="false">
      <c r="A107" s="2" t="n">
        <v>106</v>
      </c>
      <c r="B107" s="2" t="n">
        <v>9</v>
      </c>
      <c r="C107" s="2" t="s">
        <v>58</v>
      </c>
      <c r="D107" s="8" t="n">
        <v>46082</v>
      </c>
      <c r="E107" s="9" t="n">
        <v>9231.4</v>
      </c>
      <c r="F107" s="9" t="n">
        <v>15078.14</v>
      </c>
      <c r="G107" s="9" t="n">
        <f aca="false">F107-E107</f>
        <v>5846.74</v>
      </c>
    </row>
    <row r="108" customFormat="false" ht="15" hidden="false" customHeight="false" outlineLevel="0" collapsed="false">
      <c r="A108" s="2" t="n">
        <v>107</v>
      </c>
      <c r="B108" s="2" t="n">
        <v>9</v>
      </c>
      <c r="C108" s="2" t="s">
        <v>58</v>
      </c>
      <c r="D108" s="8" t="n">
        <v>46113</v>
      </c>
      <c r="E108" s="9" t="n">
        <v>9919.23</v>
      </c>
      <c r="F108" s="9" t="n">
        <v>15230.61</v>
      </c>
      <c r="G108" s="9" t="n">
        <f aca="false">F108-E108</f>
        <v>5311.38</v>
      </c>
    </row>
    <row r="109" customFormat="false" ht="15" hidden="false" customHeight="false" outlineLevel="0" collapsed="false">
      <c r="A109" s="2" t="n">
        <v>108</v>
      </c>
      <c r="B109" s="2" t="n">
        <v>9</v>
      </c>
      <c r="C109" s="2" t="s">
        <v>58</v>
      </c>
      <c r="D109" s="8" t="n">
        <v>46143</v>
      </c>
      <c r="E109" s="9" t="n">
        <v>9588.21</v>
      </c>
      <c r="F109" s="9" t="n">
        <v>12203.72</v>
      </c>
      <c r="G109" s="9" t="n">
        <f aca="false">F109-E109</f>
        <v>2615.51</v>
      </c>
    </row>
    <row r="110" customFormat="false" ht="15" hidden="false" customHeight="false" outlineLevel="0" collapsed="false">
      <c r="A110" s="2" t="n">
        <v>109</v>
      </c>
      <c r="B110" s="2" t="n">
        <v>10</v>
      </c>
      <c r="C110" s="2" t="s">
        <v>60</v>
      </c>
      <c r="D110" s="8" t="n">
        <v>45809</v>
      </c>
      <c r="E110" s="9" t="n">
        <v>4919.74</v>
      </c>
      <c r="F110" s="9" t="n">
        <v>4293.11</v>
      </c>
      <c r="G110" s="9" t="n">
        <f aca="false">F110-E110</f>
        <v>-626.63</v>
      </c>
    </row>
    <row r="111" customFormat="false" ht="15" hidden="false" customHeight="false" outlineLevel="0" collapsed="false">
      <c r="A111" s="2" t="n">
        <v>110</v>
      </c>
      <c r="B111" s="2" t="n">
        <v>10</v>
      </c>
      <c r="C111" s="2" t="s">
        <v>60</v>
      </c>
      <c r="D111" s="8" t="n">
        <v>45839</v>
      </c>
      <c r="E111" s="9" t="n">
        <v>5010.68</v>
      </c>
      <c r="F111" s="9" t="n">
        <v>3103.35</v>
      </c>
      <c r="G111" s="9" t="n">
        <f aca="false">F111-E111</f>
        <v>-1907.33</v>
      </c>
    </row>
    <row r="112" customFormat="false" ht="15" hidden="false" customHeight="false" outlineLevel="0" collapsed="false">
      <c r="A112" s="2" t="n">
        <v>111</v>
      </c>
      <c r="B112" s="2" t="n">
        <v>10</v>
      </c>
      <c r="C112" s="2" t="s">
        <v>60</v>
      </c>
      <c r="D112" s="8" t="n">
        <v>45870</v>
      </c>
      <c r="E112" s="9" t="n">
        <v>5179.69</v>
      </c>
      <c r="F112" s="9" t="n">
        <v>2946.02</v>
      </c>
      <c r="G112" s="9" t="n">
        <f aca="false">F112-E112</f>
        <v>-2233.67</v>
      </c>
    </row>
    <row r="113" customFormat="false" ht="15" hidden="false" customHeight="false" outlineLevel="0" collapsed="false">
      <c r="A113" s="2" t="n">
        <v>112</v>
      </c>
      <c r="B113" s="2" t="n">
        <v>10</v>
      </c>
      <c r="C113" s="2" t="s">
        <v>60</v>
      </c>
      <c r="D113" s="8" t="n">
        <v>45901</v>
      </c>
      <c r="E113" s="9" t="n">
        <v>5348.22</v>
      </c>
      <c r="F113" s="9" t="n">
        <v>2317.63</v>
      </c>
      <c r="G113" s="9" t="n">
        <f aca="false">F113-E113</f>
        <v>-3030.59</v>
      </c>
    </row>
    <row r="114" customFormat="false" ht="15" hidden="false" customHeight="false" outlineLevel="0" collapsed="false">
      <c r="A114" s="2" t="n">
        <v>113</v>
      </c>
      <c r="B114" s="2" t="n">
        <v>10</v>
      </c>
      <c r="C114" s="2" t="s">
        <v>60</v>
      </c>
      <c r="D114" s="8" t="n">
        <v>45931</v>
      </c>
      <c r="E114" s="9" t="n">
        <v>5324.06</v>
      </c>
      <c r="F114" s="9" t="n">
        <v>4342.53</v>
      </c>
      <c r="G114" s="9" t="n">
        <f aca="false">F114-E114</f>
        <v>-981.530000000001</v>
      </c>
    </row>
    <row r="115" customFormat="false" ht="15" hidden="false" customHeight="false" outlineLevel="0" collapsed="false">
      <c r="A115" s="2" t="n">
        <v>114</v>
      </c>
      <c r="B115" s="2" t="n">
        <v>10</v>
      </c>
      <c r="C115" s="2" t="s">
        <v>60</v>
      </c>
      <c r="D115" s="8" t="n">
        <v>45962</v>
      </c>
      <c r="E115" s="9" t="n">
        <v>5294.11</v>
      </c>
      <c r="F115" s="9" t="n">
        <v>3212.22</v>
      </c>
      <c r="G115" s="9" t="n">
        <f aca="false">F115-E115</f>
        <v>-2081.89</v>
      </c>
    </row>
    <row r="116" customFormat="false" ht="15" hidden="false" customHeight="false" outlineLevel="0" collapsed="false">
      <c r="A116" s="2" t="n">
        <v>115</v>
      </c>
      <c r="B116" s="2" t="n">
        <v>10</v>
      </c>
      <c r="C116" s="2" t="s">
        <v>60</v>
      </c>
      <c r="D116" s="8" t="n">
        <v>45992</v>
      </c>
      <c r="E116" s="9" t="n">
        <v>4785.52</v>
      </c>
      <c r="F116" s="9" t="n">
        <v>3168.46</v>
      </c>
      <c r="G116" s="9" t="n">
        <f aca="false">F116-E116</f>
        <v>-1617.06</v>
      </c>
    </row>
    <row r="117" customFormat="false" ht="15" hidden="false" customHeight="false" outlineLevel="0" collapsed="false">
      <c r="A117" s="2" t="n">
        <v>116</v>
      </c>
      <c r="B117" s="2" t="n">
        <v>10</v>
      </c>
      <c r="C117" s="2" t="s">
        <v>60</v>
      </c>
      <c r="D117" s="8" t="n">
        <v>46023</v>
      </c>
      <c r="E117" s="9" t="n">
        <v>4648.56</v>
      </c>
      <c r="F117" s="9" t="n">
        <v>3385.95</v>
      </c>
      <c r="G117" s="9" t="n">
        <f aca="false">F117-E117</f>
        <v>-1262.61</v>
      </c>
    </row>
    <row r="118" customFormat="false" ht="15" hidden="false" customHeight="false" outlineLevel="0" collapsed="false">
      <c r="A118" s="2" t="n">
        <v>117</v>
      </c>
      <c r="B118" s="2" t="n">
        <v>10</v>
      </c>
      <c r="C118" s="2" t="s">
        <v>60</v>
      </c>
      <c r="D118" s="8" t="n">
        <v>46054</v>
      </c>
      <c r="E118" s="9" t="n">
        <v>4615.22</v>
      </c>
      <c r="F118" s="9" t="n">
        <v>3611.44</v>
      </c>
      <c r="G118" s="9" t="n">
        <f aca="false">F118-E118</f>
        <v>-1003.78</v>
      </c>
    </row>
    <row r="119" customFormat="false" ht="15" hidden="false" customHeight="false" outlineLevel="0" collapsed="false">
      <c r="A119" s="2" t="n">
        <v>118</v>
      </c>
      <c r="B119" s="2" t="n">
        <v>10</v>
      </c>
      <c r="C119" s="2" t="s">
        <v>60</v>
      </c>
      <c r="D119" s="8" t="n">
        <v>46082</v>
      </c>
      <c r="E119" s="9" t="n">
        <v>5061.12</v>
      </c>
      <c r="F119" s="9" t="n">
        <v>4025.73</v>
      </c>
      <c r="G119" s="9" t="n">
        <f aca="false">F119-E119</f>
        <v>-1035.39</v>
      </c>
    </row>
    <row r="120" customFormat="false" ht="15" hidden="false" customHeight="false" outlineLevel="0" collapsed="false">
      <c r="A120" s="2" t="n">
        <v>119</v>
      </c>
      <c r="B120" s="2" t="n">
        <v>10</v>
      </c>
      <c r="C120" s="2" t="s">
        <v>60</v>
      </c>
      <c r="D120" s="8" t="n">
        <v>46113</v>
      </c>
      <c r="E120" s="9" t="n">
        <v>5042.6</v>
      </c>
      <c r="F120" s="9" t="n">
        <v>4754.04</v>
      </c>
      <c r="G120" s="9" t="n">
        <f aca="false">F120-E120</f>
        <v>-288.56</v>
      </c>
    </row>
    <row r="121" customFormat="false" ht="15" hidden="false" customHeight="false" outlineLevel="0" collapsed="false">
      <c r="A121" s="2" t="n">
        <v>120</v>
      </c>
      <c r="B121" s="2" t="n">
        <v>10</v>
      </c>
      <c r="C121" s="2" t="s">
        <v>60</v>
      </c>
      <c r="D121" s="8" t="n">
        <v>46143</v>
      </c>
      <c r="E121" s="9" t="n">
        <v>4814.28</v>
      </c>
      <c r="F121" s="9" t="n">
        <v>2139.2</v>
      </c>
      <c r="G121" s="9" t="n">
        <f aca="false">F121-E121</f>
        <v>-2675.08</v>
      </c>
    </row>
    <row r="122" customFormat="false" ht="15" hidden="false" customHeight="false" outlineLevel="0" collapsed="false">
      <c r="A122" s="2" t="n">
        <v>121</v>
      </c>
      <c r="B122" s="2" t="n">
        <v>11</v>
      </c>
      <c r="C122" s="2" t="s">
        <v>61</v>
      </c>
      <c r="D122" s="8" t="n">
        <v>45809</v>
      </c>
      <c r="E122" s="9" t="n">
        <v>10295.96</v>
      </c>
      <c r="F122" s="9" t="n">
        <v>11380.7</v>
      </c>
      <c r="G122" s="9" t="n">
        <f aca="false">F122-E122</f>
        <v>1084.74</v>
      </c>
    </row>
    <row r="123" customFormat="false" ht="15" hidden="false" customHeight="false" outlineLevel="0" collapsed="false">
      <c r="A123" s="2" t="n">
        <v>122</v>
      </c>
      <c r="B123" s="2" t="n">
        <v>11</v>
      </c>
      <c r="C123" s="2" t="s">
        <v>61</v>
      </c>
      <c r="D123" s="8" t="n">
        <v>45839</v>
      </c>
      <c r="E123" s="9" t="n">
        <v>10674.78</v>
      </c>
      <c r="F123" s="9" t="n">
        <v>6019.25</v>
      </c>
      <c r="G123" s="9" t="n">
        <f aca="false">F123-E123</f>
        <v>-4655.53</v>
      </c>
    </row>
    <row r="124" customFormat="false" ht="15" hidden="false" customHeight="false" outlineLevel="0" collapsed="false">
      <c r="A124" s="2" t="n">
        <v>123</v>
      </c>
      <c r="B124" s="2" t="n">
        <v>11</v>
      </c>
      <c r="C124" s="2" t="s">
        <v>61</v>
      </c>
      <c r="D124" s="8" t="n">
        <v>45870</v>
      </c>
      <c r="E124" s="9" t="n">
        <v>10565.53</v>
      </c>
      <c r="F124" s="9" t="n">
        <v>9530.76</v>
      </c>
      <c r="G124" s="9" t="n">
        <f aca="false">F124-E124</f>
        <v>-1034.77</v>
      </c>
    </row>
    <row r="125" customFormat="false" ht="15" hidden="false" customHeight="false" outlineLevel="0" collapsed="false">
      <c r="A125" s="2" t="n">
        <v>124</v>
      </c>
      <c r="B125" s="2" t="n">
        <v>11</v>
      </c>
      <c r="C125" s="2" t="s">
        <v>61</v>
      </c>
      <c r="D125" s="8" t="n">
        <v>45901</v>
      </c>
      <c r="E125" s="9" t="n">
        <v>10344.32</v>
      </c>
      <c r="F125" s="9" t="n">
        <v>9693.8</v>
      </c>
      <c r="G125" s="9" t="n">
        <f aca="false">F125-E125</f>
        <v>-650.52</v>
      </c>
    </row>
    <row r="126" customFormat="false" ht="15" hidden="false" customHeight="false" outlineLevel="0" collapsed="false">
      <c r="A126" s="2" t="n">
        <v>125</v>
      </c>
      <c r="B126" s="2" t="n">
        <v>11</v>
      </c>
      <c r="C126" s="2" t="s">
        <v>61</v>
      </c>
      <c r="D126" s="8" t="n">
        <v>45931</v>
      </c>
      <c r="E126" s="9" t="n">
        <v>9949.55</v>
      </c>
      <c r="F126" s="9" t="n">
        <v>8320.08</v>
      </c>
      <c r="G126" s="9" t="n">
        <f aca="false">F126-E126</f>
        <v>-1629.47</v>
      </c>
    </row>
    <row r="127" customFormat="false" ht="15" hidden="false" customHeight="false" outlineLevel="0" collapsed="false">
      <c r="A127" s="2" t="n">
        <v>126</v>
      </c>
      <c r="B127" s="2" t="n">
        <v>11</v>
      </c>
      <c r="C127" s="2" t="s">
        <v>61</v>
      </c>
      <c r="D127" s="8" t="n">
        <v>45962</v>
      </c>
      <c r="E127" s="9" t="n">
        <v>10613.08</v>
      </c>
      <c r="F127" s="9" t="n">
        <v>8236.1</v>
      </c>
      <c r="G127" s="9" t="n">
        <f aca="false">F127-E127</f>
        <v>-2376.98</v>
      </c>
    </row>
    <row r="128" customFormat="false" ht="15" hidden="false" customHeight="false" outlineLevel="0" collapsed="false">
      <c r="A128" s="2" t="n">
        <v>127</v>
      </c>
      <c r="B128" s="2" t="n">
        <v>11</v>
      </c>
      <c r="C128" s="2" t="s">
        <v>61</v>
      </c>
      <c r="D128" s="8" t="n">
        <v>45992</v>
      </c>
      <c r="E128" s="9" t="n">
        <v>10356.79</v>
      </c>
      <c r="F128" s="9" t="n">
        <v>6327.47</v>
      </c>
      <c r="G128" s="9" t="n">
        <f aca="false">F128-E128</f>
        <v>-4029.32</v>
      </c>
    </row>
    <row r="129" customFormat="false" ht="15" hidden="false" customHeight="false" outlineLevel="0" collapsed="false">
      <c r="A129" s="2" t="n">
        <v>128</v>
      </c>
      <c r="B129" s="2" t="n">
        <v>11</v>
      </c>
      <c r="C129" s="2" t="s">
        <v>61</v>
      </c>
      <c r="D129" s="8" t="n">
        <v>46023</v>
      </c>
      <c r="E129" s="9" t="n">
        <v>9824.59</v>
      </c>
      <c r="F129" s="9" t="n">
        <v>10249.45</v>
      </c>
      <c r="G129" s="9" t="n">
        <f aca="false">F129-E129</f>
        <v>424.860000000001</v>
      </c>
    </row>
    <row r="130" customFormat="false" ht="15" hidden="false" customHeight="false" outlineLevel="0" collapsed="false">
      <c r="A130" s="2" t="n">
        <v>129</v>
      </c>
      <c r="B130" s="2" t="n">
        <v>11</v>
      </c>
      <c r="C130" s="2" t="s">
        <v>61</v>
      </c>
      <c r="D130" s="8" t="n">
        <v>46054</v>
      </c>
      <c r="E130" s="9" t="n">
        <v>9866.98</v>
      </c>
      <c r="F130" s="9" t="n">
        <v>8465.3</v>
      </c>
      <c r="G130" s="9" t="n">
        <f aca="false">F130-E130</f>
        <v>-1401.68</v>
      </c>
    </row>
    <row r="131" customFormat="false" ht="15" hidden="false" customHeight="false" outlineLevel="0" collapsed="false">
      <c r="A131" s="2" t="n">
        <v>130</v>
      </c>
      <c r="B131" s="2" t="n">
        <v>11</v>
      </c>
      <c r="C131" s="2" t="s">
        <v>61</v>
      </c>
      <c r="D131" s="8" t="n">
        <v>46082</v>
      </c>
      <c r="E131" s="9" t="n">
        <v>10705.92</v>
      </c>
      <c r="F131" s="9" t="n">
        <v>8249.16</v>
      </c>
      <c r="G131" s="9" t="n">
        <f aca="false">F131-E131</f>
        <v>-2456.76</v>
      </c>
    </row>
    <row r="132" customFormat="false" ht="15" hidden="false" customHeight="false" outlineLevel="0" collapsed="false">
      <c r="A132" s="2" t="n">
        <v>131</v>
      </c>
      <c r="B132" s="2" t="n">
        <v>11</v>
      </c>
      <c r="C132" s="2" t="s">
        <v>61</v>
      </c>
      <c r="D132" s="8" t="n">
        <v>46113</v>
      </c>
      <c r="E132" s="9" t="n">
        <v>10244</v>
      </c>
      <c r="F132" s="9" t="n">
        <v>8731.88</v>
      </c>
      <c r="G132" s="9" t="n">
        <f aca="false">F132-E132</f>
        <v>-1512.12</v>
      </c>
    </row>
    <row r="133" customFormat="false" ht="15" hidden="false" customHeight="false" outlineLevel="0" collapsed="false">
      <c r="A133" s="2" t="n">
        <v>132</v>
      </c>
      <c r="B133" s="2" t="n">
        <v>11</v>
      </c>
      <c r="C133" s="2" t="s">
        <v>61</v>
      </c>
      <c r="D133" s="8" t="n">
        <v>46143</v>
      </c>
      <c r="E133" s="9" t="n">
        <v>9776.41</v>
      </c>
      <c r="F133" s="9" t="n">
        <v>9287.49</v>
      </c>
      <c r="G133" s="9" t="n">
        <f aca="false">F133-E133</f>
        <v>-488.92</v>
      </c>
    </row>
    <row r="134" customFormat="false" ht="15" hidden="false" customHeight="false" outlineLevel="0" collapsed="false">
      <c r="A134" s="2" t="n">
        <v>133</v>
      </c>
      <c r="B134" s="2" t="n">
        <v>12</v>
      </c>
      <c r="C134" s="2" t="s">
        <v>62</v>
      </c>
      <c r="D134" s="8" t="n">
        <v>45809</v>
      </c>
      <c r="E134" s="9" t="n">
        <v>6383.7</v>
      </c>
      <c r="F134" s="9" t="n">
        <v>4424.26</v>
      </c>
      <c r="G134" s="9" t="n">
        <f aca="false">F134-E134</f>
        <v>-1959.44</v>
      </c>
    </row>
    <row r="135" customFormat="false" ht="15" hidden="false" customHeight="false" outlineLevel="0" collapsed="false">
      <c r="A135" s="2" t="n">
        <v>134</v>
      </c>
      <c r="B135" s="2" t="n">
        <v>12</v>
      </c>
      <c r="C135" s="2" t="s">
        <v>62</v>
      </c>
      <c r="D135" s="8" t="n">
        <v>45839</v>
      </c>
      <c r="E135" s="9" t="n">
        <v>6727.29</v>
      </c>
      <c r="F135" s="9" t="n">
        <v>2344.67</v>
      </c>
      <c r="G135" s="9" t="n">
        <f aca="false">F135-E135</f>
        <v>-4382.62</v>
      </c>
    </row>
    <row r="136" customFormat="false" ht="15" hidden="false" customHeight="false" outlineLevel="0" collapsed="false">
      <c r="A136" s="2" t="n">
        <v>135</v>
      </c>
      <c r="B136" s="2" t="n">
        <v>12</v>
      </c>
      <c r="C136" s="2" t="s">
        <v>62</v>
      </c>
      <c r="D136" s="8" t="n">
        <v>45870</v>
      </c>
      <c r="E136" s="9" t="n">
        <v>7199.21</v>
      </c>
      <c r="F136" s="9" t="n">
        <v>2460.83</v>
      </c>
      <c r="G136" s="9" t="n">
        <f aca="false">F136-E136</f>
        <v>-4738.38</v>
      </c>
    </row>
    <row r="137" customFormat="false" ht="15" hidden="false" customHeight="false" outlineLevel="0" collapsed="false">
      <c r="A137" s="2" t="n">
        <v>136</v>
      </c>
      <c r="B137" s="2" t="n">
        <v>12</v>
      </c>
      <c r="C137" s="2" t="s">
        <v>62</v>
      </c>
      <c r="D137" s="8" t="n">
        <v>45901</v>
      </c>
      <c r="E137" s="9" t="n">
        <v>6516.04</v>
      </c>
      <c r="F137" s="9" t="n">
        <v>3703.8</v>
      </c>
      <c r="G137" s="9" t="n">
        <f aca="false">F137-E137</f>
        <v>-2812.24</v>
      </c>
    </row>
    <row r="138" customFormat="false" ht="15" hidden="false" customHeight="false" outlineLevel="0" collapsed="false">
      <c r="A138" s="2" t="n">
        <v>137</v>
      </c>
      <c r="B138" s="2" t="n">
        <v>12</v>
      </c>
      <c r="C138" s="2" t="s">
        <v>62</v>
      </c>
      <c r="D138" s="8" t="n">
        <v>45931</v>
      </c>
      <c r="E138" s="9" t="n">
        <v>6411.53</v>
      </c>
      <c r="F138" s="9" t="n">
        <v>2149.71</v>
      </c>
      <c r="G138" s="9" t="n">
        <f aca="false">F138-E138</f>
        <v>-4261.82</v>
      </c>
    </row>
    <row r="139" customFormat="false" ht="15" hidden="false" customHeight="false" outlineLevel="0" collapsed="false">
      <c r="A139" s="2" t="n">
        <v>138</v>
      </c>
      <c r="B139" s="2" t="n">
        <v>12</v>
      </c>
      <c r="C139" s="2" t="s">
        <v>62</v>
      </c>
      <c r="D139" s="8" t="n">
        <v>45962</v>
      </c>
      <c r="E139" s="9" t="n">
        <v>6855.39</v>
      </c>
      <c r="F139" s="9" t="n">
        <v>3169.56</v>
      </c>
      <c r="G139" s="9" t="n">
        <f aca="false">F139-E139</f>
        <v>-3685.83</v>
      </c>
    </row>
    <row r="140" customFormat="false" ht="15" hidden="false" customHeight="false" outlineLevel="0" collapsed="false">
      <c r="A140" s="2" t="n">
        <v>139</v>
      </c>
      <c r="B140" s="2" t="n">
        <v>12</v>
      </c>
      <c r="C140" s="2" t="s">
        <v>62</v>
      </c>
      <c r="D140" s="8" t="n">
        <v>45992</v>
      </c>
      <c r="E140" s="9" t="n">
        <v>6319.7</v>
      </c>
      <c r="F140" s="9" t="n">
        <v>2373.63</v>
      </c>
      <c r="G140" s="9" t="n">
        <f aca="false">F140-E140</f>
        <v>-3946.07</v>
      </c>
    </row>
    <row r="141" customFormat="false" ht="15" hidden="false" customHeight="false" outlineLevel="0" collapsed="false">
      <c r="A141" s="2" t="n">
        <v>140</v>
      </c>
      <c r="B141" s="2" t="n">
        <v>12</v>
      </c>
      <c r="C141" s="2" t="s">
        <v>62</v>
      </c>
      <c r="D141" s="8" t="n">
        <v>46023</v>
      </c>
      <c r="E141" s="9" t="n">
        <v>7050.09</v>
      </c>
      <c r="F141" s="9" t="n">
        <v>2329.98</v>
      </c>
      <c r="G141" s="9" t="n">
        <f aca="false">F141-E141</f>
        <v>-4720.11</v>
      </c>
    </row>
    <row r="142" customFormat="false" ht="15" hidden="false" customHeight="false" outlineLevel="0" collapsed="false">
      <c r="A142" s="2" t="n">
        <v>141</v>
      </c>
      <c r="B142" s="2" t="n">
        <v>12</v>
      </c>
      <c r="C142" s="2" t="s">
        <v>62</v>
      </c>
      <c r="D142" s="8" t="n">
        <v>46054</v>
      </c>
      <c r="E142" s="9" t="n">
        <v>6670.38</v>
      </c>
      <c r="F142" s="9" t="n">
        <v>3193.45</v>
      </c>
      <c r="G142" s="9" t="n">
        <f aca="false">F142-E142</f>
        <v>-3476.93</v>
      </c>
    </row>
    <row r="143" customFormat="false" ht="15" hidden="false" customHeight="false" outlineLevel="0" collapsed="false">
      <c r="A143" s="2" t="n">
        <v>142</v>
      </c>
      <c r="B143" s="2" t="n">
        <v>12</v>
      </c>
      <c r="C143" s="2" t="s">
        <v>62</v>
      </c>
      <c r="D143" s="8" t="n">
        <v>46082</v>
      </c>
      <c r="E143" s="9" t="n">
        <v>6993.94</v>
      </c>
      <c r="F143" s="9" t="n">
        <v>3968.04</v>
      </c>
      <c r="G143" s="9" t="n">
        <f aca="false">F143-E143</f>
        <v>-3025.9</v>
      </c>
    </row>
    <row r="144" customFormat="false" ht="15" hidden="false" customHeight="false" outlineLevel="0" collapsed="false">
      <c r="A144" s="2" t="n">
        <v>143</v>
      </c>
      <c r="B144" s="2" t="n">
        <v>12</v>
      </c>
      <c r="C144" s="2" t="s">
        <v>62</v>
      </c>
      <c r="D144" s="8" t="n">
        <v>46113</v>
      </c>
      <c r="E144" s="9" t="n">
        <v>6493.58</v>
      </c>
      <c r="F144" s="9" t="n">
        <v>4352.56</v>
      </c>
      <c r="G144" s="9" t="n">
        <f aca="false">F144-E144</f>
        <v>-2141.02</v>
      </c>
    </row>
    <row r="145" customFormat="false" ht="15" hidden="false" customHeight="false" outlineLevel="0" collapsed="false">
      <c r="A145" s="2" t="n">
        <v>144</v>
      </c>
      <c r="B145" s="2" t="n">
        <v>12</v>
      </c>
      <c r="C145" s="2" t="s">
        <v>62</v>
      </c>
      <c r="D145" s="8" t="n">
        <v>46143</v>
      </c>
      <c r="E145" s="9" t="n">
        <v>6254.9</v>
      </c>
      <c r="F145" s="9" t="n">
        <v>3197.41</v>
      </c>
      <c r="G145" s="9" t="n">
        <f aca="false">F145-E145</f>
        <v>-3057.49</v>
      </c>
    </row>
    <row r="146" customFormat="false" ht="15" hidden="false" customHeight="false" outlineLevel="0" collapsed="false">
      <c r="A146" s="2" t="n">
        <v>145</v>
      </c>
      <c r="B146" s="2" t="n">
        <v>13</v>
      </c>
      <c r="C146" s="2" t="s">
        <v>64</v>
      </c>
      <c r="D146" s="8" t="n">
        <v>45809</v>
      </c>
      <c r="E146" s="9" t="n">
        <v>4640.34</v>
      </c>
      <c r="F146" s="9" t="n">
        <v>1979.94</v>
      </c>
      <c r="G146" s="9" t="n">
        <f aca="false">F146-E146</f>
        <v>-2660.4</v>
      </c>
    </row>
    <row r="147" customFormat="false" ht="15" hidden="false" customHeight="false" outlineLevel="0" collapsed="false">
      <c r="A147" s="2" t="n">
        <v>146</v>
      </c>
      <c r="B147" s="2" t="n">
        <v>13</v>
      </c>
      <c r="C147" s="2" t="s">
        <v>64</v>
      </c>
      <c r="D147" s="8" t="n">
        <v>45839</v>
      </c>
      <c r="E147" s="9" t="n">
        <v>5357.01</v>
      </c>
      <c r="F147" s="9" t="n">
        <v>1865.82</v>
      </c>
      <c r="G147" s="9" t="n">
        <f aca="false">F147-E147</f>
        <v>-3491.19</v>
      </c>
    </row>
    <row r="148" customFormat="false" ht="15" hidden="false" customHeight="false" outlineLevel="0" collapsed="false">
      <c r="A148" s="2" t="n">
        <v>147</v>
      </c>
      <c r="B148" s="2" t="n">
        <v>13</v>
      </c>
      <c r="C148" s="2" t="s">
        <v>64</v>
      </c>
      <c r="D148" s="8" t="n">
        <v>45870</v>
      </c>
      <c r="E148" s="9" t="n">
        <v>5239.19</v>
      </c>
      <c r="F148" s="9" t="n">
        <v>2631.39</v>
      </c>
      <c r="G148" s="9" t="n">
        <f aca="false">F148-E148</f>
        <v>-2607.8</v>
      </c>
    </row>
    <row r="149" customFormat="false" ht="15" hidden="false" customHeight="false" outlineLevel="0" collapsed="false">
      <c r="A149" s="2" t="n">
        <v>148</v>
      </c>
      <c r="B149" s="2" t="n">
        <v>13</v>
      </c>
      <c r="C149" s="2" t="s">
        <v>64</v>
      </c>
      <c r="D149" s="8" t="n">
        <v>45901</v>
      </c>
      <c r="E149" s="9" t="n">
        <v>5370.12</v>
      </c>
      <c r="F149" s="9" t="n">
        <v>2316.33</v>
      </c>
      <c r="G149" s="9" t="n">
        <f aca="false">F149-E149</f>
        <v>-3053.79</v>
      </c>
    </row>
    <row r="150" customFormat="false" ht="15" hidden="false" customHeight="false" outlineLevel="0" collapsed="false">
      <c r="A150" s="2" t="n">
        <v>149</v>
      </c>
      <c r="B150" s="2" t="n">
        <v>13</v>
      </c>
      <c r="C150" s="2" t="s">
        <v>64</v>
      </c>
      <c r="D150" s="8" t="n">
        <v>45931</v>
      </c>
      <c r="E150" s="9" t="n">
        <v>5204.61</v>
      </c>
      <c r="F150" s="9" t="n">
        <v>2292.92</v>
      </c>
      <c r="G150" s="9" t="n">
        <f aca="false">F150-E150</f>
        <v>-2911.69</v>
      </c>
    </row>
    <row r="151" customFormat="false" ht="15" hidden="false" customHeight="false" outlineLevel="0" collapsed="false">
      <c r="A151" s="2" t="n">
        <v>150</v>
      </c>
      <c r="B151" s="2" t="n">
        <v>13</v>
      </c>
      <c r="C151" s="2" t="s">
        <v>64</v>
      </c>
      <c r="D151" s="8" t="n">
        <v>45962</v>
      </c>
      <c r="E151" s="9" t="n">
        <v>5379.73</v>
      </c>
      <c r="F151" s="9" t="n">
        <v>2294</v>
      </c>
      <c r="G151" s="9" t="n">
        <f aca="false">F151-E151</f>
        <v>-3085.73</v>
      </c>
    </row>
    <row r="152" customFormat="false" ht="15" hidden="false" customHeight="false" outlineLevel="0" collapsed="false">
      <c r="A152" s="2" t="n">
        <v>151</v>
      </c>
      <c r="B152" s="2" t="n">
        <v>13</v>
      </c>
      <c r="C152" s="2" t="s">
        <v>64</v>
      </c>
      <c r="D152" s="8" t="n">
        <v>45992</v>
      </c>
      <c r="E152" s="9" t="n">
        <v>5225.32</v>
      </c>
      <c r="F152" s="9" t="n">
        <v>1972.45</v>
      </c>
      <c r="G152" s="9" t="n">
        <f aca="false">F152-E152</f>
        <v>-3252.87</v>
      </c>
    </row>
    <row r="153" customFormat="false" ht="15" hidden="false" customHeight="false" outlineLevel="0" collapsed="false">
      <c r="A153" s="2" t="n">
        <v>152</v>
      </c>
      <c r="B153" s="2" t="n">
        <v>13</v>
      </c>
      <c r="C153" s="2" t="s">
        <v>64</v>
      </c>
      <c r="D153" s="8" t="n">
        <v>46023</v>
      </c>
      <c r="E153" s="9" t="n">
        <v>5087.72</v>
      </c>
      <c r="F153" s="9" t="n">
        <v>2484.49</v>
      </c>
      <c r="G153" s="9" t="n">
        <f aca="false">F153-E153</f>
        <v>-2603.23</v>
      </c>
    </row>
    <row r="154" customFormat="false" ht="15" hidden="false" customHeight="false" outlineLevel="0" collapsed="false">
      <c r="A154" s="2" t="n">
        <v>153</v>
      </c>
      <c r="B154" s="2" t="n">
        <v>13</v>
      </c>
      <c r="C154" s="2" t="s">
        <v>64</v>
      </c>
      <c r="D154" s="8" t="n">
        <v>46054</v>
      </c>
      <c r="E154" s="9" t="n">
        <v>5286.71</v>
      </c>
      <c r="F154" s="9" t="n">
        <v>2419.73</v>
      </c>
      <c r="G154" s="9" t="n">
        <f aca="false">F154-E154</f>
        <v>-2866.98</v>
      </c>
    </row>
    <row r="155" customFormat="false" ht="15" hidden="false" customHeight="false" outlineLevel="0" collapsed="false">
      <c r="A155" s="2" t="n">
        <v>154</v>
      </c>
      <c r="B155" s="2" t="n">
        <v>13</v>
      </c>
      <c r="C155" s="2" t="s">
        <v>64</v>
      </c>
      <c r="D155" s="8" t="n">
        <v>46082</v>
      </c>
      <c r="E155" s="9" t="n">
        <v>4681.49</v>
      </c>
      <c r="F155" s="9" t="n">
        <v>2450.35</v>
      </c>
      <c r="G155" s="9" t="n">
        <f aca="false">F155-E155</f>
        <v>-2231.14</v>
      </c>
    </row>
    <row r="156" customFormat="false" ht="15" hidden="false" customHeight="false" outlineLevel="0" collapsed="false">
      <c r="A156" s="2" t="n">
        <v>155</v>
      </c>
      <c r="B156" s="2" t="n">
        <v>13</v>
      </c>
      <c r="C156" s="2" t="s">
        <v>64</v>
      </c>
      <c r="D156" s="8" t="n">
        <v>46113</v>
      </c>
      <c r="E156" s="9" t="n">
        <v>5049.98</v>
      </c>
      <c r="F156" s="9" t="n">
        <v>2043.78</v>
      </c>
      <c r="G156" s="9" t="n">
        <f aca="false">F156-E156</f>
        <v>-3006.2</v>
      </c>
    </row>
    <row r="157" customFormat="false" ht="15" hidden="false" customHeight="false" outlineLevel="0" collapsed="false">
      <c r="A157" s="2" t="n">
        <v>156</v>
      </c>
      <c r="B157" s="2" t="n">
        <v>13</v>
      </c>
      <c r="C157" s="2" t="s">
        <v>64</v>
      </c>
      <c r="D157" s="8" t="n">
        <v>46143</v>
      </c>
      <c r="E157" s="9" t="n">
        <v>5005.84</v>
      </c>
      <c r="F157" s="9" t="n">
        <v>1289</v>
      </c>
      <c r="G157" s="9" t="n">
        <f aca="false">F157-E157</f>
        <v>-3716.84</v>
      </c>
    </row>
    <row r="158" customFormat="false" ht="15" hidden="false" customHeight="false" outlineLevel="0" collapsed="false">
      <c r="A158" s="2" t="n">
        <v>157</v>
      </c>
      <c r="B158" s="2" t="n">
        <v>14</v>
      </c>
      <c r="C158" s="2" t="s">
        <v>67</v>
      </c>
      <c r="D158" s="8" t="n">
        <v>45809</v>
      </c>
      <c r="E158" s="9" t="n">
        <v>19839.63</v>
      </c>
      <c r="F158" s="9" t="n">
        <v>9907.98</v>
      </c>
      <c r="G158" s="9" t="n">
        <f aca="false">F158-E158</f>
        <v>-9931.65</v>
      </c>
    </row>
    <row r="159" customFormat="false" ht="15" hidden="false" customHeight="false" outlineLevel="0" collapsed="false">
      <c r="A159" s="2" t="n">
        <v>158</v>
      </c>
      <c r="B159" s="2" t="n">
        <v>14</v>
      </c>
      <c r="C159" s="2" t="s">
        <v>67</v>
      </c>
      <c r="D159" s="8" t="n">
        <v>45839</v>
      </c>
      <c r="E159" s="9" t="n">
        <v>22398.79</v>
      </c>
      <c r="F159" s="9" t="n">
        <v>10904.72</v>
      </c>
      <c r="G159" s="9" t="n">
        <f aca="false">F159-E159</f>
        <v>-11494.07</v>
      </c>
    </row>
    <row r="160" customFormat="false" ht="15" hidden="false" customHeight="false" outlineLevel="0" collapsed="false">
      <c r="A160" s="2" t="n">
        <v>159</v>
      </c>
      <c r="B160" s="2" t="n">
        <v>14</v>
      </c>
      <c r="C160" s="2" t="s">
        <v>67</v>
      </c>
      <c r="D160" s="8" t="n">
        <v>45870</v>
      </c>
      <c r="E160" s="9" t="n">
        <v>21730.73</v>
      </c>
      <c r="F160" s="9" t="n">
        <v>12688.18</v>
      </c>
      <c r="G160" s="9" t="n">
        <f aca="false">F160-E160</f>
        <v>-9042.55</v>
      </c>
    </row>
    <row r="161" customFormat="false" ht="15" hidden="false" customHeight="false" outlineLevel="0" collapsed="false">
      <c r="A161" s="2" t="n">
        <v>160</v>
      </c>
      <c r="B161" s="2" t="n">
        <v>14</v>
      </c>
      <c r="C161" s="2" t="s">
        <v>67</v>
      </c>
      <c r="D161" s="8" t="n">
        <v>45901</v>
      </c>
      <c r="E161" s="9" t="n">
        <v>19188.63</v>
      </c>
      <c r="F161" s="9" t="n">
        <v>16873.79</v>
      </c>
      <c r="G161" s="9" t="n">
        <f aca="false">F161-E161</f>
        <v>-2314.84</v>
      </c>
    </row>
    <row r="162" customFormat="false" ht="15" hidden="false" customHeight="false" outlineLevel="0" collapsed="false">
      <c r="A162" s="2" t="n">
        <v>161</v>
      </c>
      <c r="B162" s="2" t="n">
        <v>14</v>
      </c>
      <c r="C162" s="2" t="s">
        <v>67</v>
      </c>
      <c r="D162" s="8" t="n">
        <v>45931</v>
      </c>
      <c r="E162" s="9" t="n">
        <v>21949.38</v>
      </c>
      <c r="F162" s="9" t="n">
        <v>16643.39</v>
      </c>
      <c r="G162" s="9" t="n">
        <f aca="false">F162-E162</f>
        <v>-5305.99</v>
      </c>
    </row>
    <row r="163" customFormat="false" ht="15" hidden="false" customHeight="false" outlineLevel="0" collapsed="false">
      <c r="A163" s="2" t="n">
        <v>162</v>
      </c>
      <c r="B163" s="2" t="n">
        <v>14</v>
      </c>
      <c r="C163" s="2" t="s">
        <v>67</v>
      </c>
      <c r="D163" s="8" t="n">
        <v>45962</v>
      </c>
      <c r="E163" s="9" t="n">
        <v>20745.54</v>
      </c>
      <c r="F163" s="9" t="n">
        <v>17257.48</v>
      </c>
      <c r="G163" s="9" t="n">
        <f aca="false">F163-E163</f>
        <v>-3488.06</v>
      </c>
    </row>
    <row r="164" customFormat="false" ht="15" hidden="false" customHeight="false" outlineLevel="0" collapsed="false">
      <c r="A164" s="2" t="n">
        <v>163</v>
      </c>
      <c r="B164" s="2" t="n">
        <v>14</v>
      </c>
      <c r="C164" s="2" t="s">
        <v>67</v>
      </c>
      <c r="D164" s="8" t="n">
        <v>45992</v>
      </c>
      <c r="E164" s="9" t="n">
        <v>20122.53</v>
      </c>
      <c r="F164" s="9" t="n">
        <v>14249.06</v>
      </c>
      <c r="G164" s="9" t="n">
        <f aca="false">F164-E164</f>
        <v>-5873.47</v>
      </c>
    </row>
    <row r="165" customFormat="false" ht="15" hidden="false" customHeight="false" outlineLevel="0" collapsed="false">
      <c r="A165" s="2" t="n">
        <v>164</v>
      </c>
      <c r="B165" s="2" t="n">
        <v>14</v>
      </c>
      <c r="C165" s="2" t="s">
        <v>67</v>
      </c>
      <c r="D165" s="8" t="n">
        <v>46023</v>
      </c>
      <c r="E165" s="9" t="n">
        <v>19737.54</v>
      </c>
      <c r="F165" s="9" t="n">
        <v>18496.21</v>
      </c>
      <c r="G165" s="9" t="n">
        <f aca="false">F165-E165</f>
        <v>-1241.33</v>
      </c>
    </row>
    <row r="166" customFormat="false" ht="15" hidden="false" customHeight="false" outlineLevel="0" collapsed="false">
      <c r="A166" s="2" t="n">
        <v>165</v>
      </c>
      <c r="B166" s="2" t="n">
        <v>14</v>
      </c>
      <c r="C166" s="2" t="s">
        <v>67</v>
      </c>
      <c r="D166" s="8" t="n">
        <v>46054</v>
      </c>
      <c r="E166" s="9" t="n">
        <v>20053.39</v>
      </c>
      <c r="F166" s="9" t="n">
        <v>10321.58</v>
      </c>
      <c r="G166" s="9" t="n">
        <f aca="false">F166-E166</f>
        <v>-9731.81</v>
      </c>
    </row>
    <row r="167" customFormat="false" ht="15" hidden="false" customHeight="false" outlineLevel="0" collapsed="false">
      <c r="A167" s="2" t="n">
        <v>166</v>
      </c>
      <c r="B167" s="2" t="n">
        <v>14</v>
      </c>
      <c r="C167" s="2" t="s">
        <v>67</v>
      </c>
      <c r="D167" s="8" t="n">
        <v>46082</v>
      </c>
      <c r="E167" s="9" t="n">
        <v>21550.67</v>
      </c>
      <c r="F167" s="9" t="n">
        <v>12712.13</v>
      </c>
      <c r="G167" s="9" t="n">
        <f aca="false">F167-E167</f>
        <v>-8838.54</v>
      </c>
    </row>
    <row r="168" customFormat="false" ht="15" hidden="false" customHeight="false" outlineLevel="0" collapsed="false">
      <c r="A168" s="2" t="n">
        <v>167</v>
      </c>
      <c r="B168" s="2" t="n">
        <v>14</v>
      </c>
      <c r="C168" s="2" t="s">
        <v>67</v>
      </c>
      <c r="D168" s="8" t="n">
        <v>46113</v>
      </c>
      <c r="E168" s="9" t="n">
        <v>20550.03</v>
      </c>
      <c r="F168" s="9" t="n">
        <v>17910.31</v>
      </c>
      <c r="G168" s="9" t="n">
        <f aca="false">F168-E168</f>
        <v>-2639.72</v>
      </c>
    </row>
    <row r="169" customFormat="false" ht="15" hidden="false" customHeight="false" outlineLevel="0" collapsed="false">
      <c r="A169" s="2" t="n">
        <v>168</v>
      </c>
      <c r="B169" s="2" t="n">
        <v>14</v>
      </c>
      <c r="C169" s="2" t="s">
        <v>67</v>
      </c>
      <c r="D169" s="8" t="n">
        <v>46143</v>
      </c>
      <c r="E169" s="9" t="n">
        <v>21264.8</v>
      </c>
      <c r="F169" s="9" t="n">
        <v>9964.18</v>
      </c>
      <c r="G169" s="9" t="n">
        <f aca="false">F169-E169</f>
        <v>-11300.62</v>
      </c>
    </row>
    <row r="170" customFormat="false" ht="15" hidden="false" customHeight="false" outlineLevel="0" collapsed="false">
      <c r="A170" s="2" t="n">
        <v>169</v>
      </c>
      <c r="B170" s="2" t="n">
        <v>15</v>
      </c>
      <c r="C170" s="2" t="s">
        <v>69</v>
      </c>
      <c r="D170" s="8" t="n">
        <v>45809</v>
      </c>
      <c r="E170" s="9" t="n">
        <v>13040.3</v>
      </c>
      <c r="F170" s="9" t="n">
        <v>15250.49</v>
      </c>
      <c r="G170" s="9" t="n">
        <f aca="false">F170-E170</f>
        <v>2210.19</v>
      </c>
    </row>
    <row r="171" customFormat="false" ht="15" hidden="false" customHeight="false" outlineLevel="0" collapsed="false">
      <c r="A171" s="2" t="n">
        <v>170</v>
      </c>
      <c r="B171" s="2" t="n">
        <v>15</v>
      </c>
      <c r="C171" s="2" t="s">
        <v>69</v>
      </c>
      <c r="D171" s="8" t="n">
        <v>45839</v>
      </c>
      <c r="E171" s="9" t="n">
        <v>12935.25</v>
      </c>
      <c r="F171" s="9" t="n">
        <v>12982.44</v>
      </c>
      <c r="G171" s="9" t="n">
        <f aca="false">F171-E171</f>
        <v>47.1900000000005</v>
      </c>
    </row>
    <row r="172" customFormat="false" ht="15" hidden="false" customHeight="false" outlineLevel="0" collapsed="false">
      <c r="A172" s="2" t="n">
        <v>171</v>
      </c>
      <c r="B172" s="2" t="n">
        <v>15</v>
      </c>
      <c r="C172" s="2" t="s">
        <v>69</v>
      </c>
      <c r="D172" s="8" t="n">
        <v>45870</v>
      </c>
      <c r="E172" s="9" t="n">
        <v>12534.7</v>
      </c>
      <c r="F172" s="9" t="n">
        <v>15595.52</v>
      </c>
      <c r="G172" s="9" t="n">
        <f aca="false">F172-E172</f>
        <v>3060.82</v>
      </c>
    </row>
    <row r="173" customFormat="false" ht="15" hidden="false" customHeight="false" outlineLevel="0" collapsed="false">
      <c r="A173" s="2" t="n">
        <v>172</v>
      </c>
      <c r="B173" s="2" t="n">
        <v>15</v>
      </c>
      <c r="C173" s="2" t="s">
        <v>69</v>
      </c>
      <c r="D173" s="8" t="n">
        <v>45901</v>
      </c>
      <c r="E173" s="9" t="n">
        <v>11639.16</v>
      </c>
      <c r="F173" s="9" t="n">
        <v>9008.97</v>
      </c>
      <c r="G173" s="9" t="n">
        <f aca="false">F173-E173</f>
        <v>-2630.19</v>
      </c>
    </row>
    <row r="174" customFormat="false" ht="15" hidden="false" customHeight="false" outlineLevel="0" collapsed="false">
      <c r="A174" s="2" t="n">
        <v>173</v>
      </c>
      <c r="B174" s="2" t="n">
        <v>15</v>
      </c>
      <c r="C174" s="2" t="s">
        <v>69</v>
      </c>
      <c r="D174" s="8" t="n">
        <v>45931</v>
      </c>
      <c r="E174" s="9" t="n">
        <v>12176.61</v>
      </c>
      <c r="F174" s="9" t="n">
        <v>11959.52</v>
      </c>
      <c r="G174" s="9" t="n">
        <f aca="false">F174-E174</f>
        <v>-217.09</v>
      </c>
    </row>
    <row r="175" customFormat="false" ht="15" hidden="false" customHeight="false" outlineLevel="0" collapsed="false">
      <c r="A175" s="2" t="n">
        <v>174</v>
      </c>
      <c r="B175" s="2" t="n">
        <v>15</v>
      </c>
      <c r="C175" s="2" t="s">
        <v>69</v>
      </c>
      <c r="D175" s="8" t="n">
        <v>45962</v>
      </c>
      <c r="E175" s="9" t="n">
        <v>12303.3</v>
      </c>
      <c r="F175" s="9" t="n">
        <v>16922.57</v>
      </c>
      <c r="G175" s="9" t="n">
        <f aca="false">F175-E175</f>
        <v>4619.27</v>
      </c>
    </row>
    <row r="176" customFormat="false" ht="15" hidden="false" customHeight="false" outlineLevel="0" collapsed="false">
      <c r="A176" s="2" t="n">
        <v>175</v>
      </c>
      <c r="B176" s="2" t="n">
        <v>15</v>
      </c>
      <c r="C176" s="2" t="s">
        <v>69</v>
      </c>
      <c r="D176" s="8" t="n">
        <v>45992</v>
      </c>
      <c r="E176" s="9" t="n">
        <v>13044.75</v>
      </c>
      <c r="F176" s="9" t="n">
        <v>16720.12</v>
      </c>
      <c r="G176" s="9" t="n">
        <f aca="false">F176-E176</f>
        <v>3675.37</v>
      </c>
    </row>
    <row r="177" customFormat="false" ht="15" hidden="false" customHeight="false" outlineLevel="0" collapsed="false">
      <c r="A177" s="2" t="n">
        <v>176</v>
      </c>
      <c r="B177" s="2" t="n">
        <v>15</v>
      </c>
      <c r="C177" s="2" t="s">
        <v>69</v>
      </c>
      <c r="D177" s="8" t="n">
        <v>46023</v>
      </c>
      <c r="E177" s="9" t="n">
        <v>12368.14</v>
      </c>
      <c r="F177" s="9" t="n">
        <v>17265.69</v>
      </c>
      <c r="G177" s="9" t="n">
        <f aca="false">F177-E177</f>
        <v>4897.55</v>
      </c>
    </row>
    <row r="178" customFormat="false" ht="15" hidden="false" customHeight="false" outlineLevel="0" collapsed="false">
      <c r="A178" s="2" t="n">
        <v>177</v>
      </c>
      <c r="B178" s="2" t="n">
        <v>15</v>
      </c>
      <c r="C178" s="2" t="s">
        <v>69</v>
      </c>
      <c r="D178" s="8" t="n">
        <v>46054</v>
      </c>
      <c r="E178" s="9" t="n">
        <v>12286.53</v>
      </c>
      <c r="F178" s="9" t="n">
        <v>12845.53</v>
      </c>
      <c r="G178" s="9" t="n">
        <f aca="false">F178-E178</f>
        <v>559</v>
      </c>
    </row>
    <row r="179" customFormat="false" ht="15" hidden="false" customHeight="false" outlineLevel="0" collapsed="false">
      <c r="A179" s="2" t="n">
        <v>178</v>
      </c>
      <c r="B179" s="2" t="n">
        <v>15</v>
      </c>
      <c r="C179" s="2" t="s">
        <v>69</v>
      </c>
      <c r="D179" s="8" t="n">
        <v>46082</v>
      </c>
      <c r="E179" s="9" t="n">
        <v>11574.19</v>
      </c>
      <c r="F179" s="9" t="n">
        <v>14530.09</v>
      </c>
      <c r="G179" s="9" t="n">
        <f aca="false">F179-E179</f>
        <v>2955.9</v>
      </c>
    </row>
    <row r="180" customFormat="false" ht="15" hidden="false" customHeight="false" outlineLevel="0" collapsed="false">
      <c r="A180" s="2" t="n">
        <v>179</v>
      </c>
      <c r="B180" s="2" t="n">
        <v>15</v>
      </c>
      <c r="C180" s="2" t="s">
        <v>69</v>
      </c>
      <c r="D180" s="8" t="n">
        <v>46113</v>
      </c>
      <c r="E180" s="9" t="n">
        <v>13345.04</v>
      </c>
      <c r="F180" s="9" t="n">
        <v>17183.51</v>
      </c>
      <c r="G180" s="9" t="n">
        <f aca="false">F180-E180</f>
        <v>3838.47</v>
      </c>
    </row>
    <row r="181" customFormat="false" ht="15" hidden="false" customHeight="false" outlineLevel="0" collapsed="false">
      <c r="A181" s="2" t="n">
        <v>180</v>
      </c>
      <c r="B181" s="2" t="n">
        <v>15</v>
      </c>
      <c r="C181" s="2" t="s">
        <v>69</v>
      </c>
      <c r="D181" s="8" t="n">
        <v>46143</v>
      </c>
      <c r="E181" s="9" t="n">
        <v>11801.9</v>
      </c>
      <c r="F181" s="9" t="n">
        <v>12099.07</v>
      </c>
      <c r="G181" s="9" t="n">
        <f aca="false">F181-E181</f>
        <v>297.17</v>
      </c>
    </row>
    <row r="182" customFormat="false" ht="15" hidden="false" customHeight="false" outlineLevel="0" collapsed="false">
      <c r="A182" s="2" t="n">
        <v>181</v>
      </c>
      <c r="B182" s="2" t="n">
        <v>16</v>
      </c>
      <c r="C182" s="2" t="s">
        <v>71</v>
      </c>
      <c r="D182" s="8" t="n">
        <v>45809</v>
      </c>
      <c r="E182" s="9" t="n">
        <v>35077.35</v>
      </c>
      <c r="F182" s="9" t="n">
        <v>33286.93</v>
      </c>
      <c r="G182" s="9" t="n">
        <f aca="false">F182-E182</f>
        <v>-1790.42</v>
      </c>
    </row>
    <row r="183" customFormat="false" ht="15" hidden="false" customHeight="false" outlineLevel="0" collapsed="false">
      <c r="A183" s="2" t="n">
        <v>182</v>
      </c>
      <c r="B183" s="2" t="n">
        <v>16</v>
      </c>
      <c r="C183" s="2" t="s">
        <v>71</v>
      </c>
      <c r="D183" s="8" t="n">
        <v>45839</v>
      </c>
      <c r="E183" s="9" t="n">
        <v>35467.78</v>
      </c>
      <c r="F183" s="9" t="n">
        <v>33331.51</v>
      </c>
      <c r="G183" s="9" t="n">
        <f aca="false">F183-E183</f>
        <v>-2136.27</v>
      </c>
    </row>
    <row r="184" customFormat="false" ht="15" hidden="false" customHeight="false" outlineLevel="0" collapsed="false">
      <c r="A184" s="2" t="n">
        <v>183</v>
      </c>
      <c r="B184" s="2" t="n">
        <v>16</v>
      </c>
      <c r="C184" s="2" t="s">
        <v>71</v>
      </c>
      <c r="D184" s="8" t="n">
        <v>45870</v>
      </c>
      <c r="E184" s="9" t="n">
        <v>33922.14</v>
      </c>
      <c r="F184" s="9" t="n">
        <v>29844.78</v>
      </c>
      <c r="G184" s="9" t="n">
        <f aca="false">F184-E184</f>
        <v>-4077.36</v>
      </c>
    </row>
    <row r="185" customFormat="false" ht="15" hidden="false" customHeight="false" outlineLevel="0" collapsed="false">
      <c r="A185" s="2" t="n">
        <v>184</v>
      </c>
      <c r="B185" s="2" t="n">
        <v>16</v>
      </c>
      <c r="C185" s="2" t="s">
        <v>71</v>
      </c>
      <c r="D185" s="8" t="n">
        <v>45901</v>
      </c>
      <c r="E185" s="9" t="n">
        <v>31449.93</v>
      </c>
      <c r="F185" s="9" t="n">
        <v>31323.32</v>
      </c>
      <c r="G185" s="9" t="n">
        <f aca="false">F185-E185</f>
        <v>-126.610000000001</v>
      </c>
    </row>
    <row r="186" customFormat="false" ht="15" hidden="false" customHeight="false" outlineLevel="0" collapsed="false">
      <c r="A186" s="2" t="n">
        <v>185</v>
      </c>
      <c r="B186" s="2" t="n">
        <v>16</v>
      </c>
      <c r="C186" s="2" t="s">
        <v>71</v>
      </c>
      <c r="D186" s="8" t="n">
        <v>45931</v>
      </c>
      <c r="E186" s="9" t="n">
        <v>32821</v>
      </c>
      <c r="F186" s="9" t="n">
        <v>33189.22</v>
      </c>
      <c r="G186" s="9" t="n">
        <f aca="false">F186-E186</f>
        <v>368.220000000001</v>
      </c>
    </row>
    <row r="187" customFormat="false" ht="15" hidden="false" customHeight="false" outlineLevel="0" collapsed="false">
      <c r="A187" s="2" t="n">
        <v>186</v>
      </c>
      <c r="B187" s="2" t="n">
        <v>16</v>
      </c>
      <c r="C187" s="2" t="s">
        <v>71</v>
      </c>
      <c r="D187" s="8" t="n">
        <v>45962</v>
      </c>
      <c r="E187" s="9" t="n">
        <v>34100.69</v>
      </c>
      <c r="F187" s="9" t="n">
        <v>22528.13</v>
      </c>
      <c r="G187" s="9" t="n">
        <f aca="false">F187-E187</f>
        <v>-11572.56</v>
      </c>
    </row>
    <row r="188" customFormat="false" ht="15" hidden="false" customHeight="false" outlineLevel="0" collapsed="false">
      <c r="A188" s="2" t="n">
        <v>187</v>
      </c>
      <c r="B188" s="2" t="n">
        <v>16</v>
      </c>
      <c r="C188" s="2" t="s">
        <v>71</v>
      </c>
      <c r="D188" s="8" t="n">
        <v>45992</v>
      </c>
      <c r="E188" s="9" t="n">
        <v>35400.43</v>
      </c>
      <c r="F188" s="9" t="n">
        <v>31515.4</v>
      </c>
      <c r="G188" s="9" t="n">
        <f aca="false">F188-E188</f>
        <v>-3885.03</v>
      </c>
    </row>
    <row r="189" customFormat="false" ht="15" hidden="false" customHeight="false" outlineLevel="0" collapsed="false">
      <c r="A189" s="2" t="n">
        <v>188</v>
      </c>
      <c r="B189" s="2" t="n">
        <v>16</v>
      </c>
      <c r="C189" s="2" t="s">
        <v>71</v>
      </c>
      <c r="D189" s="8" t="n">
        <v>46023</v>
      </c>
      <c r="E189" s="9" t="n">
        <v>33996.58</v>
      </c>
      <c r="F189" s="9" t="n">
        <v>27951.29</v>
      </c>
      <c r="G189" s="9" t="n">
        <f aca="false">F189-E189</f>
        <v>-6045.29</v>
      </c>
    </row>
    <row r="190" customFormat="false" ht="15" hidden="false" customHeight="false" outlineLevel="0" collapsed="false">
      <c r="A190" s="2" t="n">
        <v>189</v>
      </c>
      <c r="B190" s="2" t="n">
        <v>16</v>
      </c>
      <c r="C190" s="2" t="s">
        <v>71</v>
      </c>
      <c r="D190" s="8" t="n">
        <v>46054</v>
      </c>
      <c r="E190" s="9" t="n">
        <v>33963.67</v>
      </c>
      <c r="F190" s="9" t="n">
        <v>31279.65</v>
      </c>
      <c r="G190" s="9" t="n">
        <f aca="false">F190-E190</f>
        <v>-2684.02</v>
      </c>
    </row>
    <row r="191" customFormat="false" ht="15" hidden="false" customHeight="false" outlineLevel="0" collapsed="false">
      <c r="A191" s="2" t="n">
        <v>190</v>
      </c>
      <c r="B191" s="2" t="n">
        <v>16</v>
      </c>
      <c r="C191" s="2" t="s">
        <v>71</v>
      </c>
      <c r="D191" s="8" t="n">
        <v>46082</v>
      </c>
      <c r="E191" s="9" t="n">
        <v>33024.77</v>
      </c>
      <c r="F191" s="9" t="n">
        <v>28351.27</v>
      </c>
      <c r="G191" s="9" t="n">
        <f aca="false">F191-E191</f>
        <v>-4673.5</v>
      </c>
    </row>
    <row r="192" customFormat="false" ht="15" hidden="false" customHeight="false" outlineLevel="0" collapsed="false">
      <c r="A192" s="2" t="n">
        <v>191</v>
      </c>
      <c r="B192" s="2" t="n">
        <v>16</v>
      </c>
      <c r="C192" s="2" t="s">
        <v>71</v>
      </c>
      <c r="D192" s="8" t="n">
        <v>46113</v>
      </c>
      <c r="E192" s="9" t="n">
        <v>32508</v>
      </c>
      <c r="F192" s="9" t="n">
        <v>20493.42</v>
      </c>
      <c r="G192" s="9" t="n">
        <f aca="false">F192-E192</f>
        <v>-12014.58</v>
      </c>
    </row>
    <row r="193" customFormat="false" ht="15" hidden="false" customHeight="false" outlineLevel="0" collapsed="false">
      <c r="A193" s="2" t="n">
        <v>192</v>
      </c>
      <c r="B193" s="2" t="n">
        <v>16</v>
      </c>
      <c r="C193" s="2" t="s">
        <v>71</v>
      </c>
      <c r="D193" s="8" t="n">
        <v>46143</v>
      </c>
      <c r="E193" s="9" t="n">
        <v>34996.43</v>
      </c>
      <c r="F193" s="9" t="n">
        <v>21080.31</v>
      </c>
      <c r="G193" s="9" t="n">
        <f aca="false">F193-E193</f>
        <v>-13916.12</v>
      </c>
    </row>
    <row r="194" customFormat="false" ht="15" hidden="false" customHeight="false" outlineLevel="0" collapsed="false">
      <c r="A194" s="2" t="n">
        <v>193</v>
      </c>
      <c r="B194" s="2" t="n">
        <v>17</v>
      </c>
      <c r="C194" s="2" t="s">
        <v>73</v>
      </c>
      <c r="D194" s="8" t="n">
        <v>45809</v>
      </c>
      <c r="E194" s="9" t="n">
        <v>6496.76</v>
      </c>
      <c r="F194" s="9" t="n">
        <v>5831.98</v>
      </c>
      <c r="G194" s="9" t="n">
        <f aca="false">F194-E194</f>
        <v>-664.780000000001</v>
      </c>
    </row>
    <row r="195" customFormat="false" ht="15" hidden="false" customHeight="false" outlineLevel="0" collapsed="false">
      <c r="A195" s="2" t="n">
        <v>194</v>
      </c>
      <c r="B195" s="2" t="n">
        <v>17</v>
      </c>
      <c r="C195" s="2" t="s">
        <v>73</v>
      </c>
      <c r="D195" s="8" t="n">
        <v>45839</v>
      </c>
      <c r="E195" s="9" t="n">
        <v>6811.4</v>
      </c>
      <c r="F195" s="9" t="n">
        <v>6235.62</v>
      </c>
      <c r="G195" s="9" t="n">
        <f aca="false">F195-E195</f>
        <v>-575.78</v>
      </c>
    </row>
    <row r="196" customFormat="false" ht="15" hidden="false" customHeight="false" outlineLevel="0" collapsed="false">
      <c r="A196" s="2" t="n">
        <v>195</v>
      </c>
      <c r="B196" s="2" t="n">
        <v>17</v>
      </c>
      <c r="C196" s="2" t="s">
        <v>73</v>
      </c>
      <c r="D196" s="8" t="n">
        <v>45870</v>
      </c>
      <c r="E196" s="9" t="n">
        <v>6158.32</v>
      </c>
      <c r="F196" s="9" t="n">
        <v>3189.66</v>
      </c>
      <c r="G196" s="9" t="n">
        <f aca="false">F196-E196</f>
        <v>-2968.66</v>
      </c>
    </row>
    <row r="197" customFormat="false" ht="15" hidden="false" customHeight="false" outlineLevel="0" collapsed="false">
      <c r="A197" s="2" t="n">
        <v>196</v>
      </c>
      <c r="B197" s="2" t="n">
        <v>17</v>
      </c>
      <c r="C197" s="2" t="s">
        <v>73</v>
      </c>
      <c r="D197" s="8" t="n">
        <v>45901</v>
      </c>
      <c r="E197" s="9" t="n">
        <v>7083.01</v>
      </c>
      <c r="F197" s="9" t="n">
        <v>4922.18</v>
      </c>
      <c r="G197" s="9" t="n">
        <f aca="false">F197-E197</f>
        <v>-2160.83</v>
      </c>
    </row>
    <row r="198" customFormat="false" ht="15" hidden="false" customHeight="false" outlineLevel="0" collapsed="false">
      <c r="A198" s="2" t="n">
        <v>197</v>
      </c>
      <c r="B198" s="2" t="n">
        <v>17</v>
      </c>
      <c r="C198" s="2" t="s">
        <v>73</v>
      </c>
      <c r="D198" s="8" t="n">
        <v>45931</v>
      </c>
      <c r="E198" s="9" t="n">
        <v>6709.26</v>
      </c>
      <c r="F198" s="9" t="n">
        <v>4358.48</v>
      </c>
      <c r="G198" s="9" t="n">
        <f aca="false">F198-E198</f>
        <v>-2350.78</v>
      </c>
    </row>
    <row r="199" customFormat="false" ht="15" hidden="false" customHeight="false" outlineLevel="0" collapsed="false">
      <c r="A199" s="2" t="n">
        <v>198</v>
      </c>
      <c r="B199" s="2" t="n">
        <v>17</v>
      </c>
      <c r="C199" s="2" t="s">
        <v>73</v>
      </c>
      <c r="D199" s="8" t="n">
        <v>45962</v>
      </c>
      <c r="E199" s="9" t="n">
        <v>6409.27</v>
      </c>
      <c r="F199" s="9" t="n">
        <v>5615.89</v>
      </c>
      <c r="G199" s="9" t="n">
        <f aca="false">F199-E199</f>
        <v>-793.38</v>
      </c>
    </row>
    <row r="200" customFormat="false" ht="15" hidden="false" customHeight="false" outlineLevel="0" collapsed="false">
      <c r="A200" s="2" t="n">
        <v>199</v>
      </c>
      <c r="B200" s="2" t="n">
        <v>17</v>
      </c>
      <c r="C200" s="2" t="s">
        <v>73</v>
      </c>
      <c r="D200" s="8" t="n">
        <v>45992</v>
      </c>
      <c r="E200" s="9" t="n">
        <v>7021.04</v>
      </c>
      <c r="F200" s="9" t="n">
        <v>6231.42</v>
      </c>
      <c r="G200" s="9" t="n">
        <f aca="false">F200-E200</f>
        <v>-789.62</v>
      </c>
    </row>
    <row r="201" customFormat="false" ht="15" hidden="false" customHeight="false" outlineLevel="0" collapsed="false">
      <c r="A201" s="2" t="n">
        <v>200</v>
      </c>
      <c r="B201" s="2" t="n">
        <v>17</v>
      </c>
      <c r="C201" s="2" t="s">
        <v>73</v>
      </c>
      <c r="D201" s="8" t="n">
        <v>46023</v>
      </c>
      <c r="E201" s="9" t="n">
        <v>6457.54</v>
      </c>
      <c r="F201" s="9" t="n">
        <v>4857.32</v>
      </c>
      <c r="G201" s="9" t="n">
        <f aca="false">F201-E201</f>
        <v>-1600.22</v>
      </c>
    </row>
    <row r="202" customFormat="false" ht="15" hidden="false" customHeight="false" outlineLevel="0" collapsed="false">
      <c r="A202" s="2" t="n">
        <v>201</v>
      </c>
      <c r="B202" s="2" t="n">
        <v>17</v>
      </c>
      <c r="C202" s="2" t="s">
        <v>73</v>
      </c>
      <c r="D202" s="8" t="n">
        <v>46054</v>
      </c>
      <c r="E202" s="9" t="n">
        <v>6584.26</v>
      </c>
      <c r="F202" s="9" t="n">
        <v>4935.01</v>
      </c>
      <c r="G202" s="9" t="n">
        <f aca="false">F202-E202</f>
        <v>-1649.25</v>
      </c>
    </row>
    <row r="203" customFormat="false" ht="15" hidden="false" customHeight="false" outlineLevel="0" collapsed="false">
      <c r="A203" s="2" t="n">
        <v>202</v>
      </c>
      <c r="B203" s="2" t="n">
        <v>17</v>
      </c>
      <c r="C203" s="2" t="s">
        <v>73</v>
      </c>
      <c r="D203" s="8" t="n">
        <v>46082</v>
      </c>
      <c r="E203" s="9" t="n">
        <v>6672.29</v>
      </c>
      <c r="F203" s="9" t="n">
        <v>3684.59</v>
      </c>
      <c r="G203" s="9" t="n">
        <f aca="false">F203-E203</f>
        <v>-2987.7</v>
      </c>
    </row>
    <row r="204" customFormat="false" ht="15" hidden="false" customHeight="false" outlineLevel="0" collapsed="false">
      <c r="A204" s="2" t="n">
        <v>203</v>
      </c>
      <c r="B204" s="2" t="n">
        <v>17</v>
      </c>
      <c r="C204" s="2" t="s">
        <v>73</v>
      </c>
      <c r="D204" s="8" t="n">
        <v>46113</v>
      </c>
      <c r="E204" s="9" t="n">
        <v>6914.12</v>
      </c>
      <c r="F204" s="9" t="n">
        <v>4823.68</v>
      </c>
      <c r="G204" s="9" t="n">
        <f aca="false">F204-E204</f>
        <v>-2090.44</v>
      </c>
    </row>
    <row r="205" customFormat="false" ht="15" hidden="false" customHeight="false" outlineLevel="0" collapsed="false">
      <c r="A205" s="2" t="n">
        <v>204</v>
      </c>
      <c r="B205" s="2" t="n">
        <v>17</v>
      </c>
      <c r="C205" s="2" t="s">
        <v>73</v>
      </c>
      <c r="D205" s="8" t="n">
        <v>46143</v>
      </c>
      <c r="E205" s="9" t="n">
        <v>7031.02</v>
      </c>
      <c r="F205" s="9" t="n">
        <v>4061.25</v>
      </c>
      <c r="G205" s="9" t="n">
        <f aca="false">F205-E205</f>
        <v>-2969.77</v>
      </c>
    </row>
    <row r="206" customFormat="false" ht="15" hidden="false" customHeight="false" outlineLevel="0" collapsed="false">
      <c r="A206" s="2" t="n">
        <v>205</v>
      </c>
      <c r="B206" s="2" t="n">
        <v>18</v>
      </c>
      <c r="C206" s="2" t="s">
        <v>75</v>
      </c>
      <c r="D206" s="8" t="n">
        <v>45809</v>
      </c>
      <c r="E206" s="9" t="n">
        <v>22291.8</v>
      </c>
      <c r="F206" s="9" t="n">
        <v>17140.88</v>
      </c>
      <c r="G206" s="9" t="n">
        <f aca="false">F206-E206</f>
        <v>-5150.92</v>
      </c>
    </row>
    <row r="207" customFormat="false" ht="15" hidden="false" customHeight="false" outlineLevel="0" collapsed="false">
      <c r="A207" s="2" t="n">
        <v>206</v>
      </c>
      <c r="B207" s="2" t="n">
        <v>18</v>
      </c>
      <c r="C207" s="2" t="s">
        <v>75</v>
      </c>
      <c r="D207" s="8" t="n">
        <v>45839</v>
      </c>
      <c r="E207" s="9" t="n">
        <v>21385.07</v>
      </c>
      <c r="F207" s="9" t="n">
        <v>11910.88</v>
      </c>
      <c r="G207" s="9" t="n">
        <f aca="false">F207-E207</f>
        <v>-9474.19</v>
      </c>
    </row>
    <row r="208" customFormat="false" ht="15" hidden="false" customHeight="false" outlineLevel="0" collapsed="false">
      <c r="A208" s="2" t="n">
        <v>207</v>
      </c>
      <c r="B208" s="2" t="n">
        <v>18</v>
      </c>
      <c r="C208" s="2" t="s">
        <v>75</v>
      </c>
      <c r="D208" s="8" t="n">
        <v>45870</v>
      </c>
      <c r="E208" s="9" t="n">
        <v>21981.65</v>
      </c>
      <c r="F208" s="9" t="n">
        <v>20535.81</v>
      </c>
      <c r="G208" s="9" t="n">
        <f aca="false">F208-E208</f>
        <v>-1445.84</v>
      </c>
    </row>
    <row r="209" customFormat="false" ht="15" hidden="false" customHeight="false" outlineLevel="0" collapsed="false">
      <c r="A209" s="2" t="n">
        <v>208</v>
      </c>
      <c r="B209" s="2" t="n">
        <v>18</v>
      </c>
      <c r="C209" s="2" t="s">
        <v>75</v>
      </c>
      <c r="D209" s="8" t="n">
        <v>45901</v>
      </c>
      <c r="E209" s="9" t="n">
        <v>19946.13</v>
      </c>
      <c r="F209" s="9" t="n">
        <v>23054.57</v>
      </c>
      <c r="G209" s="9" t="n">
        <f aca="false">F209-E209</f>
        <v>3108.44</v>
      </c>
    </row>
    <row r="210" customFormat="false" ht="15" hidden="false" customHeight="false" outlineLevel="0" collapsed="false">
      <c r="A210" s="2" t="n">
        <v>209</v>
      </c>
      <c r="B210" s="2" t="n">
        <v>18</v>
      </c>
      <c r="C210" s="2" t="s">
        <v>75</v>
      </c>
      <c r="D210" s="8" t="n">
        <v>45931</v>
      </c>
      <c r="E210" s="9" t="n">
        <v>20164.01</v>
      </c>
      <c r="F210" s="9" t="n">
        <v>16339.9</v>
      </c>
      <c r="G210" s="9" t="n">
        <f aca="false">F210-E210</f>
        <v>-3824.11</v>
      </c>
    </row>
    <row r="211" customFormat="false" ht="15" hidden="false" customHeight="false" outlineLevel="0" collapsed="false">
      <c r="A211" s="2" t="n">
        <v>210</v>
      </c>
      <c r="B211" s="2" t="n">
        <v>18</v>
      </c>
      <c r="C211" s="2" t="s">
        <v>75</v>
      </c>
      <c r="D211" s="8" t="n">
        <v>45962</v>
      </c>
      <c r="E211" s="9" t="n">
        <v>21389.74</v>
      </c>
      <c r="F211" s="9" t="n">
        <v>18026.02</v>
      </c>
      <c r="G211" s="9" t="n">
        <f aca="false">F211-E211</f>
        <v>-3363.72</v>
      </c>
    </row>
    <row r="212" customFormat="false" ht="15" hidden="false" customHeight="false" outlineLevel="0" collapsed="false">
      <c r="A212" s="2" t="n">
        <v>211</v>
      </c>
      <c r="B212" s="2" t="n">
        <v>18</v>
      </c>
      <c r="C212" s="2" t="s">
        <v>75</v>
      </c>
      <c r="D212" s="8" t="n">
        <v>45992</v>
      </c>
      <c r="E212" s="9" t="n">
        <v>21883.6</v>
      </c>
      <c r="F212" s="9" t="n">
        <v>10294.26</v>
      </c>
      <c r="G212" s="9" t="n">
        <f aca="false">F212-E212</f>
        <v>-11589.34</v>
      </c>
    </row>
    <row r="213" customFormat="false" ht="15" hidden="false" customHeight="false" outlineLevel="0" collapsed="false">
      <c r="A213" s="2" t="n">
        <v>212</v>
      </c>
      <c r="B213" s="2" t="n">
        <v>18</v>
      </c>
      <c r="C213" s="2" t="s">
        <v>75</v>
      </c>
      <c r="D213" s="8" t="n">
        <v>46023</v>
      </c>
      <c r="E213" s="9" t="n">
        <v>21075.89</v>
      </c>
      <c r="F213" s="9" t="n">
        <v>14843.81</v>
      </c>
      <c r="G213" s="9" t="n">
        <f aca="false">F213-E213</f>
        <v>-6232.08</v>
      </c>
    </row>
    <row r="214" customFormat="false" ht="15" hidden="false" customHeight="false" outlineLevel="0" collapsed="false">
      <c r="A214" s="2" t="n">
        <v>213</v>
      </c>
      <c r="B214" s="2" t="n">
        <v>18</v>
      </c>
      <c r="C214" s="2" t="s">
        <v>75</v>
      </c>
      <c r="D214" s="8" t="n">
        <v>46054</v>
      </c>
      <c r="E214" s="9" t="n">
        <v>19633.24</v>
      </c>
      <c r="F214" s="9" t="n">
        <v>13441.42</v>
      </c>
      <c r="G214" s="9" t="n">
        <f aca="false">F214-E214</f>
        <v>-6191.82</v>
      </c>
    </row>
    <row r="215" customFormat="false" ht="15" hidden="false" customHeight="false" outlineLevel="0" collapsed="false">
      <c r="A215" s="2" t="n">
        <v>214</v>
      </c>
      <c r="B215" s="2" t="n">
        <v>18</v>
      </c>
      <c r="C215" s="2" t="s">
        <v>75</v>
      </c>
      <c r="D215" s="8" t="n">
        <v>46082</v>
      </c>
      <c r="E215" s="9" t="n">
        <v>20425.55</v>
      </c>
      <c r="F215" s="9" t="n">
        <v>20388.57</v>
      </c>
      <c r="G215" s="9" t="n">
        <f aca="false">F215-E215</f>
        <v>-36.9799999999996</v>
      </c>
    </row>
    <row r="216" customFormat="false" ht="15" hidden="false" customHeight="false" outlineLevel="0" collapsed="false">
      <c r="A216" s="2" t="n">
        <v>215</v>
      </c>
      <c r="B216" s="2" t="n">
        <v>18</v>
      </c>
      <c r="C216" s="2" t="s">
        <v>75</v>
      </c>
      <c r="D216" s="8" t="n">
        <v>46113</v>
      </c>
      <c r="E216" s="9" t="n">
        <v>21625.04</v>
      </c>
      <c r="F216" s="9" t="n">
        <v>18150.86</v>
      </c>
      <c r="G216" s="9" t="n">
        <f aca="false">F216-E216</f>
        <v>-3474.18</v>
      </c>
    </row>
    <row r="217" customFormat="false" ht="15" hidden="false" customHeight="false" outlineLevel="0" collapsed="false">
      <c r="A217" s="2" t="n">
        <v>216</v>
      </c>
      <c r="B217" s="2" t="n">
        <v>18</v>
      </c>
      <c r="C217" s="2" t="s">
        <v>75</v>
      </c>
      <c r="D217" s="8" t="n">
        <v>46143</v>
      </c>
      <c r="E217" s="9" t="n">
        <v>19517.42</v>
      </c>
      <c r="F217" s="9" t="n">
        <v>19964.5</v>
      </c>
      <c r="G217" s="9" t="n">
        <f aca="false">F217-E217</f>
        <v>447.080000000002</v>
      </c>
    </row>
    <row r="218" customFormat="false" ht="15" hidden="false" customHeight="false" outlineLevel="0" collapsed="false">
      <c r="A218" s="2" t="n">
        <v>217</v>
      </c>
      <c r="B218" s="2" t="n">
        <v>19</v>
      </c>
      <c r="C218" s="2" t="s">
        <v>77</v>
      </c>
      <c r="D218" s="8" t="n">
        <v>45809</v>
      </c>
      <c r="E218" s="9" t="n">
        <v>16407.34</v>
      </c>
      <c r="F218" s="9" t="n">
        <v>6909.56</v>
      </c>
      <c r="G218" s="9" t="n">
        <f aca="false">F218-E218</f>
        <v>-9497.78</v>
      </c>
    </row>
    <row r="219" customFormat="false" ht="15" hidden="false" customHeight="false" outlineLevel="0" collapsed="false">
      <c r="A219" s="2" t="n">
        <v>218</v>
      </c>
      <c r="B219" s="2" t="n">
        <v>19</v>
      </c>
      <c r="C219" s="2" t="s">
        <v>77</v>
      </c>
      <c r="D219" s="8" t="n">
        <v>45839</v>
      </c>
      <c r="E219" s="9" t="n">
        <v>16823.92</v>
      </c>
      <c r="F219" s="9" t="n">
        <v>11205.28</v>
      </c>
      <c r="G219" s="9" t="n">
        <f aca="false">F219-E219</f>
        <v>-5618.64</v>
      </c>
    </row>
    <row r="220" customFormat="false" ht="15" hidden="false" customHeight="false" outlineLevel="0" collapsed="false">
      <c r="A220" s="2" t="n">
        <v>219</v>
      </c>
      <c r="B220" s="2" t="n">
        <v>19</v>
      </c>
      <c r="C220" s="2" t="s">
        <v>77</v>
      </c>
      <c r="D220" s="8" t="n">
        <v>45870</v>
      </c>
      <c r="E220" s="9" t="n">
        <v>17410.2</v>
      </c>
      <c r="F220" s="9" t="n">
        <v>8828.39</v>
      </c>
      <c r="G220" s="9" t="n">
        <f aca="false">F220-E220</f>
        <v>-8581.81</v>
      </c>
    </row>
    <row r="221" customFormat="false" ht="15" hidden="false" customHeight="false" outlineLevel="0" collapsed="false">
      <c r="A221" s="2" t="n">
        <v>220</v>
      </c>
      <c r="B221" s="2" t="n">
        <v>19</v>
      </c>
      <c r="C221" s="2" t="s">
        <v>77</v>
      </c>
      <c r="D221" s="8" t="n">
        <v>45901</v>
      </c>
      <c r="E221" s="9" t="n">
        <v>17658.71</v>
      </c>
      <c r="F221" s="9" t="n">
        <v>6572.33</v>
      </c>
      <c r="G221" s="9" t="n">
        <f aca="false">F221-E221</f>
        <v>-11086.38</v>
      </c>
    </row>
    <row r="222" customFormat="false" ht="15" hidden="false" customHeight="false" outlineLevel="0" collapsed="false">
      <c r="A222" s="2" t="n">
        <v>221</v>
      </c>
      <c r="B222" s="2" t="n">
        <v>19</v>
      </c>
      <c r="C222" s="2" t="s">
        <v>77</v>
      </c>
      <c r="D222" s="8" t="n">
        <v>45931</v>
      </c>
      <c r="E222" s="9" t="n">
        <v>16891.48</v>
      </c>
      <c r="F222" s="9" t="n">
        <v>8618.6</v>
      </c>
      <c r="G222" s="9" t="n">
        <f aca="false">F222-E222</f>
        <v>-8272.88</v>
      </c>
    </row>
    <row r="223" customFormat="false" ht="15" hidden="false" customHeight="false" outlineLevel="0" collapsed="false">
      <c r="A223" s="2" t="n">
        <v>222</v>
      </c>
      <c r="B223" s="2" t="n">
        <v>19</v>
      </c>
      <c r="C223" s="2" t="s">
        <v>77</v>
      </c>
      <c r="D223" s="8" t="n">
        <v>45962</v>
      </c>
      <c r="E223" s="9" t="n">
        <v>17030.56</v>
      </c>
      <c r="F223" s="9" t="n">
        <v>8518.62</v>
      </c>
      <c r="G223" s="9" t="n">
        <f aca="false">F223-E223</f>
        <v>-8511.94</v>
      </c>
    </row>
    <row r="224" customFormat="false" ht="15" hidden="false" customHeight="false" outlineLevel="0" collapsed="false">
      <c r="A224" s="2" t="n">
        <v>223</v>
      </c>
      <c r="B224" s="2" t="n">
        <v>19</v>
      </c>
      <c r="C224" s="2" t="s">
        <v>77</v>
      </c>
      <c r="D224" s="8" t="n">
        <v>45992</v>
      </c>
      <c r="E224" s="9" t="n">
        <v>17990.7</v>
      </c>
      <c r="F224" s="9" t="n">
        <v>6174.24</v>
      </c>
      <c r="G224" s="9" t="n">
        <f aca="false">F224-E224</f>
        <v>-11816.46</v>
      </c>
    </row>
    <row r="225" customFormat="false" ht="15" hidden="false" customHeight="false" outlineLevel="0" collapsed="false">
      <c r="A225" s="2" t="n">
        <v>224</v>
      </c>
      <c r="B225" s="2" t="n">
        <v>19</v>
      </c>
      <c r="C225" s="2" t="s">
        <v>77</v>
      </c>
      <c r="D225" s="8" t="n">
        <v>46023</v>
      </c>
      <c r="E225" s="9" t="n">
        <v>17170.71</v>
      </c>
      <c r="F225" s="9" t="n">
        <v>8612.7</v>
      </c>
      <c r="G225" s="9" t="n">
        <f aca="false">F225-E225</f>
        <v>-8558.01</v>
      </c>
    </row>
    <row r="226" customFormat="false" ht="15" hidden="false" customHeight="false" outlineLevel="0" collapsed="false">
      <c r="A226" s="2" t="n">
        <v>225</v>
      </c>
      <c r="B226" s="2" t="n">
        <v>19</v>
      </c>
      <c r="C226" s="2" t="s">
        <v>77</v>
      </c>
      <c r="D226" s="8" t="n">
        <v>46054</v>
      </c>
      <c r="E226" s="9" t="n">
        <v>17860.85</v>
      </c>
      <c r="F226" s="9" t="n">
        <v>6451.45</v>
      </c>
      <c r="G226" s="9" t="n">
        <f aca="false">F226-E226</f>
        <v>-11409.4</v>
      </c>
    </row>
    <row r="227" customFormat="false" ht="15" hidden="false" customHeight="false" outlineLevel="0" collapsed="false">
      <c r="A227" s="2" t="n">
        <v>226</v>
      </c>
      <c r="B227" s="2" t="n">
        <v>19</v>
      </c>
      <c r="C227" s="2" t="s">
        <v>77</v>
      </c>
      <c r="D227" s="8" t="n">
        <v>46082</v>
      </c>
      <c r="E227" s="9" t="n">
        <v>17284.58</v>
      </c>
      <c r="F227" s="9" t="n">
        <v>7072.51</v>
      </c>
      <c r="G227" s="9" t="n">
        <f aca="false">F227-E227</f>
        <v>-10212.07</v>
      </c>
    </row>
    <row r="228" customFormat="false" ht="15" hidden="false" customHeight="false" outlineLevel="0" collapsed="false">
      <c r="A228" s="2" t="n">
        <v>227</v>
      </c>
      <c r="B228" s="2" t="n">
        <v>19</v>
      </c>
      <c r="C228" s="2" t="s">
        <v>77</v>
      </c>
      <c r="D228" s="8" t="n">
        <v>46113</v>
      </c>
      <c r="E228" s="9" t="n">
        <v>16445.13</v>
      </c>
      <c r="F228" s="9" t="n">
        <v>6070.32</v>
      </c>
      <c r="G228" s="9" t="n">
        <f aca="false">F228-E228</f>
        <v>-10374.81</v>
      </c>
    </row>
    <row r="229" customFormat="false" ht="15" hidden="false" customHeight="false" outlineLevel="0" collapsed="false">
      <c r="A229" s="2" t="n">
        <v>228</v>
      </c>
      <c r="B229" s="2" t="n">
        <v>19</v>
      </c>
      <c r="C229" s="2" t="s">
        <v>77</v>
      </c>
      <c r="D229" s="8" t="n">
        <v>46143</v>
      </c>
      <c r="E229" s="9" t="n">
        <v>15767.58</v>
      </c>
      <c r="F229" s="9" t="n">
        <v>10459.56</v>
      </c>
      <c r="G229" s="9" t="n">
        <f aca="false">F229-E229</f>
        <v>-5308.02</v>
      </c>
    </row>
    <row r="230" customFormat="false" ht="15" hidden="false" customHeight="false" outlineLevel="0" collapsed="false">
      <c r="A230" s="2" t="n">
        <v>229</v>
      </c>
      <c r="B230" s="2" t="n">
        <v>20</v>
      </c>
      <c r="C230" s="2" t="s">
        <v>78</v>
      </c>
      <c r="D230" s="8" t="n">
        <v>45809</v>
      </c>
      <c r="E230" s="9" t="n">
        <v>5281.85</v>
      </c>
      <c r="F230" s="9" t="n">
        <v>4232.77</v>
      </c>
      <c r="G230" s="9" t="n">
        <f aca="false">F230-E230</f>
        <v>-1049.08</v>
      </c>
    </row>
    <row r="231" customFormat="false" ht="15" hidden="false" customHeight="false" outlineLevel="0" collapsed="false">
      <c r="A231" s="2" t="n">
        <v>230</v>
      </c>
      <c r="B231" s="2" t="n">
        <v>20</v>
      </c>
      <c r="C231" s="2" t="s">
        <v>78</v>
      </c>
      <c r="D231" s="8" t="n">
        <v>45839</v>
      </c>
      <c r="E231" s="9" t="n">
        <v>4688.27</v>
      </c>
      <c r="F231" s="9" t="n">
        <v>4140.03</v>
      </c>
      <c r="G231" s="9" t="n">
        <f aca="false">F231-E231</f>
        <v>-548.240000000001</v>
      </c>
    </row>
    <row r="232" customFormat="false" ht="15" hidden="false" customHeight="false" outlineLevel="0" collapsed="false">
      <c r="A232" s="2" t="n">
        <v>231</v>
      </c>
      <c r="B232" s="2" t="n">
        <v>20</v>
      </c>
      <c r="C232" s="2" t="s">
        <v>78</v>
      </c>
      <c r="D232" s="8" t="n">
        <v>45870</v>
      </c>
      <c r="E232" s="9" t="n">
        <v>4895.67</v>
      </c>
      <c r="F232" s="9" t="n">
        <v>5889.41</v>
      </c>
      <c r="G232" s="9" t="n">
        <f aca="false">F232-E232</f>
        <v>993.74</v>
      </c>
    </row>
    <row r="233" customFormat="false" ht="15" hidden="false" customHeight="false" outlineLevel="0" collapsed="false">
      <c r="A233" s="2" t="n">
        <v>232</v>
      </c>
      <c r="B233" s="2" t="n">
        <v>20</v>
      </c>
      <c r="C233" s="2" t="s">
        <v>78</v>
      </c>
      <c r="D233" s="8" t="n">
        <v>45901</v>
      </c>
      <c r="E233" s="9" t="n">
        <v>4831.67</v>
      </c>
      <c r="F233" s="9" t="n">
        <v>4330.19</v>
      </c>
      <c r="G233" s="9" t="n">
        <f aca="false">F233-E233</f>
        <v>-501.480000000001</v>
      </c>
    </row>
    <row r="234" customFormat="false" ht="15" hidden="false" customHeight="false" outlineLevel="0" collapsed="false">
      <c r="A234" s="2" t="n">
        <v>233</v>
      </c>
      <c r="B234" s="2" t="n">
        <v>20</v>
      </c>
      <c r="C234" s="2" t="s">
        <v>78</v>
      </c>
      <c r="D234" s="8" t="n">
        <v>45931</v>
      </c>
      <c r="E234" s="9" t="n">
        <v>5018.22</v>
      </c>
      <c r="F234" s="9" t="n">
        <v>4384.89</v>
      </c>
      <c r="G234" s="9" t="n">
        <f aca="false">F234-E234</f>
        <v>-633.33</v>
      </c>
    </row>
    <row r="235" customFormat="false" ht="15" hidden="false" customHeight="false" outlineLevel="0" collapsed="false">
      <c r="A235" s="2" t="n">
        <v>234</v>
      </c>
      <c r="B235" s="2" t="n">
        <v>20</v>
      </c>
      <c r="C235" s="2" t="s">
        <v>78</v>
      </c>
      <c r="D235" s="8" t="n">
        <v>45962</v>
      </c>
      <c r="E235" s="9" t="n">
        <v>4694.19</v>
      </c>
      <c r="F235" s="9" t="n">
        <v>4951.64</v>
      </c>
      <c r="G235" s="9" t="n">
        <f aca="false">F235-E235</f>
        <v>257.450000000001</v>
      </c>
    </row>
    <row r="236" customFormat="false" ht="15" hidden="false" customHeight="false" outlineLevel="0" collapsed="false">
      <c r="A236" s="2" t="n">
        <v>235</v>
      </c>
      <c r="B236" s="2" t="n">
        <v>20</v>
      </c>
      <c r="C236" s="2" t="s">
        <v>78</v>
      </c>
      <c r="D236" s="8" t="n">
        <v>45992</v>
      </c>
      <c r="E236" s="9" t="n">
        <v>4843.94</v>
      </c>
      <c r="F236" s="9" t="n">
        <v>4132.22</v>
      </c>
      <c r="G236" s="9" t="n">
        <f aca="false">F236-E236</f>
        <v>-711.719999999999</v>
      </c>
    </row>
    <row r="237" customFormat="false" ht="15" hidden="false" customHeight="false" outlineLevel="0" collapsed="false">
      <c r="A237" s="2" t="n">
        <v>236</v>
      </c>
      <c r="B237" s="2" t="n">
        <v>20</v>
      </c>
      <c r="C237" s="2" t="s">
        <v>78</v>
      </c>
      <c r="D237" s="8" t="n">
        <v>46023</v>
      </c>
      <c r="E237" s="9" t="n">
        <v>4899.57</v>
      </c>
      <c r="F237" s="9" t="n">
        <v>2682.77</v>
      </c>
      <c r="G237" s="9" t="n">
        <f aca="false">F237-E237</f>
        <v>-2216.8</v>
      </c>
    </row>
    <row r="238" customFormat="false" ht="15" hidden="false" customHeight="false" outlineLevel="0" collapsed="false">
      <c r="A238" s="2" t="n">
        <v>237</v>
      </c>
      <c r="B238" s="2" t="n">
        <v>20</v>
      </c>
      <c r="C238" s="2" t="s">
        <v>78</v>
      </c>
      <c r="D238" s="8" t="n">
        <v>46054</v>
      </c>
      <c r="E238" s="9" t="n">
        <v>4835.19</v>
      </c>
      <c r="F238" s="9" t="n">
        <v>3108.64</v>
      </c>
      <c r="G238" s="9" t="n">
        <f aca="false">F238-E238</f>
        <v>-1726.55</v>
      </c>
    </row>
    <row r="239" customFormat="false" ht="15" hidden="false" customHeight="false" outlineLevel="0" collapsed="false">
      <c r="A239" s="2" t="n">
        <v>238</v>
      </c>
      <c r="B239" s="2" t="n">
        <v>20</v>
      </c>
      <c r="C239" s="2" t="s">
        <v>78</v>
      </c>
      <c r="D239" s="8" t="n">
        <v>46082</v>
      </c>
      <c r="E239" s="9" t="n">
        <v>4622.38</v>
      </c>
      <c r="F239" s="9" t="n">
        <v>4487.34</v>
      </c>
      <c r="G239" s="9" t="n">
        <f aca="false">F239-E239</f>
        <v>-135.04</v>
      </c>
    </row>
    <row r="240" customFormat="false" ht="15" hidden="false" customHeight="false" outlineLevel="0" collapsed="false">
      <c r="A240" s="2" t="n">
        <v>239</v>
      </c>
      <c r="B240" s="2" t="n">
        <v>20</v>
      </c>
      <c r="C240" s="2" t="s">
        <v>78</v>
      </c>
      <c r="D240" s="8" t="n">
        <v>46113</v>
      </c>
      <c r="E240" s="9" t="n">
        <v>4714.3</v>
      </c>
      <c r="F240" s="9" t="n">
        <v>5730.57</v>
      </c>
      <c r="G240" s="9" t="n">
        <f aca="false">F240-E240</f>
        <v>1016.27</v>
      </c>
    </row>
    <row r="241" customFormat="false" ht="15" hidden="false" customHeight="false" outlineLevel="0" collapsed="false">
      <c r="A241" s="2" t="n">
        <v>240</v>
      </c>
      <c r="B241" s="2" t="n">
        <v>20</v>
      </c>
      <c r="C241" s="2" t="s">
        <v>78</v>
      </c>
      <c r="D241" s="8" t="n">
        <v>46143</v>
      </c>
      <c r="E241" s="9" t="n">
        <v>5227.03</v>
      </c>
      <c r="F241" s="9" t="n">
        <v>2978.13</v>
      </c>
      <c r="G241" s="9" t="n">
        <f aca="false">F241-E241</f>
        <v>-2248.9</v>
      </c>
    </row>
  </sheetData>
  <conditionalFormatting sqref="G2:G241">
    <cfRule type="colorScale" priority="2">
      <colorScale>
        <cfvo type="min" val="0"/>
        <cfvo type="num" val="0"/>
        <cfvo type="max" val="0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6" min="5" style="0" width="15"/>
    <col collapsed="false" customWidth="true" hidden="false" outlineLevel="0" max="11" min="7" style="0" width="1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2.05" hidden="false" customHeight="false" outlineLevel="0" collapsed="false">
      <c r="A2" s="2"/>
      <c r="B2" s="1" t="s">
        <v>345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6" t="s">
        <v>346</v>
      </c>
      <c r="C3" s="11" t="n">
        <v>46144</v>
      </c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3" t="s">
        <v>347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21.75" hidden="false" customHeight="true" outlineLevel="0" collapsed="false">
      <c r="A6" s="2"/>
      <c r="B6" s="12" t="s">
        <v>348</v>
      </c>
      <c r="C6" s="12"/>
      <c r="D6" s="13" t="s">
        <v>349</v>
      </c>
      <c r="E6" s="13"/>
      <c r="F6" s="14" t="s">
        <v>350</v>
      </c>
      <c r="G6" s="14"/>
      <c r="H6" s="15" t="s">
        <v>351</v>
      </c>
      <c r="I6" s="15"/>
      <c r="J6" s="16" t="s">
        <v>352</v>
      </c>
      <c r="K6" s="16"/>
    </row>
    <row r="7" customFormat="false" ht="31.5" hidden="false" customHeight="true" outlineLevel="0" collapsed="false">
      <c r="A7" s="2"/>
      <c r="B7" s="17" t="n">
        <f aca="false">COUNTA(tProjects[project_id])</f>
        <v>20</v>
      </c>
      <c r="C7" s="17"/>
      <c r="D7" s="17" t="n">
        <f aca="false">COUNTIFS(tProjects[health_flag],"On Track")</f>
        <v>11</v>
      </c>
      <c r="E7" s="17"/>
      <c r="F7" s="17" t="n">
        <f aca="false">COUNTIFS(tProjects[health_flag],"At Risk")</f>
        <v>5</v>
      </c>
      <c r="G7" s="17"/>
      <c r="H7" s="17" t="n">
        <f aca="false">COUNTIFS(tProjects[health_flag],"Over Budget")</f>
        <v>4</v>
      </c>
      <c r="I7" s="17"/>
      <c r="J7" s="17" t="n">
        <f aca="false">COUNTIFS(tTasks[overdue_flag],"Overdue")</f>
        <v>245</v>
      </c>
      <c r="K7" s="17"/>
    </row>
    <row r="8" customFormat="false" ht="12" hidden="false" customHeight="true" outlineLevel="0" collapsed="false">
      <c r="A8" s="2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"/>
      <c r="B11" s="18" t="s">
        <v>353</v>
      </c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5"/>
      <c r="B12" s="5" t="s">
        <v>354</v>
      </c>
      <c r="C12" s="5" t="s">
        <v>355</v>
      </c>
      <c r="D12" s="5" t="s">
        <v>356</v>
      </c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2"/>
      <c r="B13" s="2" t="s">
        <v>357</v>
      </c>
      <c r="C13" s="2" t="n">
        <f aca="false">COUNTIFS(tProjects[health_flag],B13)</f>
        <v>11</v>
      </c>
      <c r="D13" s="10" t="n">
        <f aca="false">IFERROR(C13/COUNTA(tProjects[project_id]),0)</f>
        <v>0.55</v>
      </c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2"/>
      <c r="B14" s="2" t="s">
        <v>358</v>
      </c>
      <c r="C14" s="2" t="n">
        <f aca="false">COUNTIFS(tProjects[health_flag],B14)</f>
        <v>5</v>
      </c>
      <c r="D14" s="10" t="n">
        <f aca="false">IFERROR(C14/COUNTA(tProjects[project_id]),0)</f>
        <v>0.25</v>
      </c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2"/>
      <c r="B15" s="2" t="s">
        <v>359</v>
      </c>
      <c r="C15" s="2" t="n">
        <f aca="false">COUNTIFS(tProjects[health_flag],B15)</f>
        <v>4</v>
      </c>
      <c r="D15" s="10" t="n">
        <f aca="false">IFERROR(C15/COUNTA(tProjects[project_id]),0)</f>
        <v>0.2</v>
      </c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2"/>
      <c r="B19" s="18" t="s">
        <v>360</v>
      </c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5"/>
      <c r="B20" s="5" t="s">
        <v>361</v>
      </c>
      <c r="C20" s="5" t="s">
        <v>362</v>
      </c>
      <c r="D20" s="5" t="s">
        <v>363</v>
      </c>
      <c r="E20" s="5" t="s">
        <v>364</v>
      </c>
      <c r="F20" s="5" t="s">
        <v>365</v>
      </c>
      <c r="G20" s="5"/>
      <c r="H20" s="5"/>
      <c r="I20" s="5" t="s">
        <v>366</v>
      </c>
      <c r="J20" s="5" t="s">
        <v>367</v>
      </c>
      <c r="K20" s="5" t="s">
        <v>364</v>
      </c>
    </row>
    <row r="21" customFormat="false" ht="15" hidden="false" customHeight="false" outlineLevel="0" collapsed="false">
      <c r="A21" s="2"/>
      <c r="B21" s="2" t="str">
        <f aca="false">IFERROR(IF(LARGE(tProjects[overrun],1)&lt;=0,"",INDEX(tProjects[project_name],MATCH(LARGE(tProjects[overrun],1),tProjects[overrun],0))),"")</f>
        <v>Cybersecurity Uplift</v>
      </c>
      <c r="C21" s="2" t="str">
        <f aca="false">IFERROR(IF(LARGE(tProjects[overrun],1)&lt;=0,"",INDEX(tProjects[client_name],MATCH(LARGE(tProjects[overrun],1),tProjects[overrun],0))),"")</f>
        <v>Acme Co.</v>
      </c>
      <c r="D21" s="9" t="n">
        <f aca="false">IFERROR(IF(LARGE(tProjects[overrun],1)&lt;=0,"",INDEX(tProjects[budget_amount],MATCH(LARGE(tProjects[overrun],1),tProjects[overrun],0))),"")</f>
        <v>400000</v>
      </c>
      <c r="E21" s="9" t="n">
        <f aca="false">IFERROR(IF(LARGE(tProjects[overrun],1)&lt;=0,"",INDEX(tProjects[actual_amount],MATCH(LARGE(tProjects[overrun],1),tProjects[overrun],0))),"")</f>
        <v>448485.6</v>
      </c>
      <c r="F21" s="9" t="n">
        <f aca="false">IFERROR(IF(LARGE(tProjects[overrun],1)&lt;=0,"",LARGE(tProjects[overrun],1)),"")</f>
        <v>48485.6</v>
      </c>
      <c r="G21" s="2"/>
      <c r="H21" s="2"/>
      <c r="I21" s="19" t="n">
        <v>45809</v>
      </c>
      <c r="J21" s="20" t="n">
        <f aca="false">SUMIFS(tBudget[budgeted_amount],tBudget[month_start],I21)</f>
        <v>316596.9</v>
      </c>
      <c r="K21" s="20" t="n">
        <f aca="false">SUMIFS(tBudget[actual_amount],tBudget[month_start],I21)</f>
        <v>232791.02</v>
      </c>
    </row>
    <row r="22" customFormat="false" ht="15" hidden="false" customHeight="false" outlineLevel="0" collapsed="false">
      <c r="A22" s="2"/>
      <c r="B22" s="2" t="str">
        <f aca="false">IFERROR(IF(LARGE(tProjects[overrun],2)&lt;=0,"",INDEX(tProjects[project_name],MATCH(LARGE(tProjects[overrun],2),tProjects[overrun],0))),"")</f>
        <v>Patient Scheduling Pilot</v>
      </c>
      <c r="C22" s="2" t="str">
        <f aca="false">IFERROR(IF(LARGE(tProjects[overrun],2)&lt;=0,"",INDEX(tProjects[client_name],MATCH(LARGE(tProjects[overrun],2),tProjects[overrun],0))),"")</f>
        <v>Umbrella Bio</v>
      </c>
      <c r="D22" s="9" t="n">
        <f aca="false">IFERROR(IF(LARGE(tProjects[overrun],2)&lt;=0,"",INDEX(tProjects[budget_amount],MATCH(LARGE(tProjects[overrun],2),tProjects[overrun],0))),"")</f>
        <v>150000</v>
      </c>
      <c r="E22" s="9" t="n">
        <f aca="false">IFERROR(IF(LARGE(tProjects[overrun],2)&lt;=0,"",INDEX(tProjects[actual_amount],MATCH(LARGE(tProjects[overrun],2),tProjects[overrun],0))),"")</f>
        <v>172363.52</v>
      </c>
      <c r="F22" s="9" t="n">
        <f aca="false">IFERROR(IF(LARGE(tProjects[overrun],2)&lt;=0,"",LARGE(tProjects[overrun],2)),"")</f>
        <v>22363.52</v>
      </c>
      <c r="G22" s="2"/>
      <c r="H22" s="2"/>
      <c r="I22" s="19" t="n">
        <v>45839</v>
      </c>
      <c r="J22" s="20" t="n">
        <f aca="false">SUMIFS(tBudget[budgeted_amount],tBudget[month_start],I22)</f>
        <v>318655.51</v>
      </c>
      <c r="K22" s="20" t="n">
        <f aca="false">SUMIFS(tBudget[actual_amount],tBudget[month_start],I22)</f>
        <v>223739.36</v>
      </c>
    </row>
    <row r="23" customFormat="false" ht="15" hidden="false" customHeight="false" outlineLevel="0" collapsed="false">
      <c r="A23" s="2"/>
      <c r="B23" s="2" t="str">
        <f aca="false">IFERROR(IF(LARGE(tProjects[overrun],3)&lt;=0,"",INDEX(tProjects[project_name],MATCH(LARGE(tProjects[overrun],3),tProjects[overrun],0))),"")</f>
        <v>Compliance Remediation</v>
      </c>
      <c r="C23" s="2" t="str">
        <f aca="false">IFERROR(IF(LARGE(tProjects[overrun],3)&lt;=0,"",INDEX(tProjects[client_name],MATCH(LARGE(tProjects[overrun],3),tProjects[overrun],0))),"")</f>
        <v>Initech</v>
      </c>
      <c r="D23" s="9" t="n">
        <f aca="false">IFERROR(IF(LARGE(tProjects[overrun],3)&lt;=0,"",INDEX(tProjects[budget_amount],MATCH(LARGE(tProjects[overrun],3),tProjects[overrun],0))),"")</f>
        <v>120000</v>
      </c>
      <c r="E23" s="9" t="n">
        <f aca="false">IFERROR(IF(LARGE(tProjects[overrun],3)&lt;=0,"",INDEX(tProjects[actual_amount],MATCH(LARGE(tProjects[overrun],3),tProjects[overrun],0))),"")</f>
        <v>134103.24</v>
      </c>
      <c r="F23" s="9" t="n">
        <f aca="false">IFERROR(IF(LARGE(tProjects[overrun],3)&lt;=0,"",LARGE(tProjects[overrun],3)),"")</f>
        <v>14103.24</v>
      </c>
      <c r="G23" s="2"/>
      <c r="H23" s="2"/>
      <c r="I23" s="19" t="n">
        <v>45870</v>
      </c>
      <c r="J23" s="20" t="n">
        <f aca="false">SUMIFS(tBudget[budgeted_amount],tBudget[month_start],I23)</f>
        <v>317824.96</v>
      </c>
      <c r="K23" s="20" t="n">
        <f aca="false">SUMIFS(tBudget[actual_amount],tBudget[month_start],I23)</f>
        <v>237730.05</v>
      </c>
    </row>
    <row r="24" customFormat="false" ht="15" hidden="false" customHeight="false" outlineLevel="0" collapsed="false">
      <c r="A24" s="2"/>
      <c r="B24" s="2" t="str">
        <f aca="false">IFERROR(IF(LARGE(tProjects[overrun],4)&lt;=0,"",INDEX(tProjects[project_name],MATCH(LARGE(tProjects[overrun],4),tProjects[overrun],0))),"")</f>
        <v>ERP Implementation</v>
      </c>
      <c r="C24" s="2" t="str">
        <f aca="false">IFERROR(IF(LARGE(tProjects[overrun],4)&lt;=0,"",INDEX(tProjects[client_name],MATCH(LARGE(tProjects[overrun],4),tProjects[overrun],0))),"")</f>
        <v>Acme Co.</v>
      </c>
      <c r="D24" s="9" t="n">
        <f aca="false">IFERROR(IF(LARGE(tProjects[overrun],4)&lt;=0,"",INDEX(tProjects[budget_amount],MATCH(LARGE(tProjects[overrun],4),tProjects[overrun],0))),"")</f>
        <v>60000</v>
      </c>
      <c r="E24" s="9" t="n">
        <f aca="false">IFERROR(IF(LARGE(tProjects[overrun],4)&lt;=0,"",INDEX(tProjects[actual_amount],MATCH(LARGE(tProjects[overrun],4),tProjects[overrun],0))),"")</f>
        <v>70571.26</v>
      </c>
      <c r="F24" s="9" t="n">
        <f aca="false">IFERROR(IF(LARGE(tProjects[overrun],4)&lt;=0,"",LARGE(tProjects[overrun],4)),"")</f>
        <v>10571.26</v>
      </c>
      <c r="G24" s="2"/>
      <c r="H24" s="2"/>
      <c r="I24" s="19" t="n">
        <v>45901</v>
      </c>
      <c r="J24" s="20" t="n">
        <f aca="false">SUMIFS(tBudget[budgeted_amount],tBudget[month_start],I24)</f>
        <v>311002.97</v>
      </c>
      <c r="K24" s="20" t="n">
        <f aca="false">SUMIFS(tBudget[actual_amount],tBudget[month_start],I24)</f>
        <v>246632.42</v>
      </c>
    </row>
    <row r="25" customFormat="false" ht="15" hidden="false" customHeight="false" outlineLevel="0" collapsed="false">
      <c r="A25" s="2"/>
      <c r="B25" s="2" t="str">
        <f aca="false">IFERROR(IF(LARGE(tProjects[overrun],5)&lt;=0,"",INDEX(tProjects[project_name],MATCH(LARGE(tProjects[overrun],5),tProjects[overrun],0))),"")</f>
        <v/>
      </c>
      <c r="C25" s="2" t="str">
        <f aca="false">IFERROR(IF(LARGE(tProjects[overrun],5)&lt;=0,"",INDEX(tProjects[client_name],MATCH(LARGE(tProjects[overrun],5),tProjects[overrun],0))),"")</f>
        <v/>
      </c>
      <c r="D25" s="9" t="str">
        <f aca="false">IFERROR(IF(LARGE(tProjects[overrun],5)&lt;=0,"",INDEX(tProjects[budget_amount],MATCH(LARGE(tProjects[overrun],5),tProjects[overrun],0))),"")</f>
        <v/>
      </c>
      <c r="E25" s="9" t="str">
        <f aca="false">IFERROR(IF(LARGE(tProjects[overrun],5)&lt;=0,"",INDEX(tProjects[actual_amount],MATCH(LARGE(tProjects[overrun],5),tProjects[overrun],0))),"")</f>
        <v/>
      </c>
      <c r="F25" s="9" t="str">
        <f aca="false">IFERROR(IF(LARGE(tProjects[overrun],5)&lt;=0,"",LARGE(tProjects[overrun],5)),"")</f>
        <v/>
      </c>
      <c r="G25" s="2"/>
      <c r="H25" s="2"/>
      <c r="I25" s="19" t="n">
        <v>45931</v>
      </c>
      <c r="J25" s="20" t="n">
        <f aca="false">SUMIFS(tBudget[budgeted_amount],tBudget[month_start],I25)</f>
        <v>304867.78</v>
      </c>
      <c r="K25" s="20" t="n">
        <f aca="false">SUMIFS(tBudget[actual_amount],tBudget[month_start],I25)</f>
        <v>252939.9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19" t="n">
        <v>45962</v>
      </c>
      <c r="J26" s="20" t="n">
        <f aca="false">SUMIFS(tBudget[budgeted_amount],tBudget[month_start],I26)</f>
        <v>315279.41</v>
      </c>
      <c r="K26" s="20" t="n">
        <f aca="false">SUMIFS(tBudget[actual_amount],tBudget[month_start],I26)</f>
        <v>239124.15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19" t="n">
        <v>45992</v>
      </c>
      <c r="J27" s="20" t="n">
        <f aca="false">SUMIFS(tBudget[budgeted_amount],tBudget[month_start],I27)</f>
        <v>317134.37</v>
      </c>
      <c r="K27" s="20" t="n">
        <f aca="false">SUMIFS(tBudget[actual_amount],tBudget[month_start],I27)</f>
        <v>238608.19</v>
      </c>
    </row>
    <row r="28" customFormat="false" ht="15" hidden="false" customHeight="false" outlineLevel="0" collapsed="false">
      <c r="A28" s="2"/>
      <c r="B28" s="18" t="s">
        <v>368</v>
      </c>
      <c r="C28" s="2"/>
      <c r="D28" s="2"/>
      <c r="E28" s="2"/>
      <c r="F28" s="2"/>
      <c r="G28" s="2"/>
      <c r="H28" s="2"/>
      <c r="I28" s="19" t="n">
        <v>46023</v>
      </c>
      <c r="J28" s="20" t="n">
        <f aca="false">SUMIFS(tBudget[budgeted_amount],tBudget[month_start],I28)</f>
        <v>310567.4</v>
      </c>
      <c r="K28" s="20" t="n">
        <f aca="false">SUMIFS(tBudget[actual_amount],tBudget[month_start],I28)</f>
        <v>263791.38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19" t="n">
        <v>46054</v>
      </c>
      <c r="J29" s="20" t="n">
        <f aca="false">SUMIFS(tBudget[budgeted_amount],tBudget[month_start],I29)</f>
        <v>316348.69</v>
      </c>
      <c r="K29" s="20" t="n">
        <f aca="false">SUMIFS(tBudget[actual_amount],tBudget[month_start],I29)</f>
        <v>227558.44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19" t="n">
        <v>46082</v>
      </c>
      <c r="J30" s="20" t="n">
        <f aca="false">SUMIFS(tBudget[budgeted_amount],tBudget[month_start],I30)</f>
        <v>312110.86</v>
      </c>
      <c r="K30" s="20" t="n">
        <f aca="false">SUMIFS(tBudget[actual_amount],tBudget[month_start],I30)</f>
        <v>231435.61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19" t="n">
        <v>46113</v>
      </c>
      <c r="J31" s="20" t="n">
        <f aca="false">SUMIFS(tBudget[budgeted_amount],tBudget[month_start],I31)</f>
        <v>309765.78</v>
      </c>
      <c r="K31" s="20" t="n">
        <f aca="false">SUMIFS(tBudget[actual_amount],tBudget[month_start],I31)</f>
        <v>259467.29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19" t="n">
        <v>46143</v>
      </c>
      <c r="J32" s="20" t="n">
        <f aca="false">SUMIFS(tBudget[budgeted_amount],tBudget[month_start],I32)</f>
        <v>313370.87</v>
      </c>
      <c r="K32" s="20" t="n">
        <f aca="false">SUMIFS(tBudget[actual_amount],tBudget[month_start],I32)</f>
        <v>225552.74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18" t="s">
        <v>369</v>
      </c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5"/>
      <c r="B47" s="5" t="s">
        <v>370</v>
      </c>
      <c r="C47" s="5" t="s">
        <v>371</v>
      </c>
      <c r="D47" s="5" t="s">
        <v>372</v>
      </c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2"/>
      <c r="B48" s="2" t="str">
        <f aca="false">IFERROR(IF(INT(LARGE(F61:F110,1))=0,"",INDEX(D61:D110,MATCH(LARGE(F61:F110,1),F61:F110,0))),"")</f>
        <v>Hailey Diaz</v>
      </c>
      <c r="C48" s="2" t="str">
        <f aca="false">IFERROR(IF(INT(LARGE(F61:F110,1))=0,"",INDEX(E61:E110,MATCH(LARGE(F61:F110,1),F61:F110,0))),"")</f>
        <v>Operations</v>
      </c>
      <c r="D48" s="2" t="n">
        <f aca="false">IFERROR(IF(INT(LARGE(F61:F110,1))=0,"",INT(LARGE(F61:F110,1))),"")</f>
        <v>4</v>
      </c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2" t="str">
        <f aca="false">IFERROR(IF(INT(LARGE(F61:F110,2))=0,"",INDEX(D61:D110,MATCH(LARGE(F61:F110,2),F61:F110,0))),"")</f>
        <v>Sam Bell</v>
      </c>
      <c r="C49" s="2" t="str">
        <f aca="false">IFERROR(IF(INT(LARGE(F61:F110,2))=0,"",INDEX(E61:E110,MATCH(LARGE(F61:F110,2),F61:F110,0))),"")</f>
        <v>Finance</v>
      </c>
      <c r="D49" s="2" t="n">
        <f aca="false">IFERROR(IF(INT(LARGE(F61:F110,2))=0,"",INT(LARGE(F61:F110,2))),"")</f>
        <v>3</v>
      </c>
      <c r="E49" s="2"/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2"/>
      <c r="B50" s="2" t="str">
        <f aca="false">IFERROR(IF(INT(LARGE(F61:F110,3))=0,"",INDEX(D61:D110,MATCH(LARGE(F61:F110,3),F61:F110,0))),"")</f>
        <v>Paige Cook</v>
      </c>
      <c r="C50" s="2" t="str">
        <f aca="false">IFERROR(IF(INT(LARGE(F61:F110,3))=0,"",INDEX(E61:E110,MATCH(LARGE(F61:F110,3),F61:F110,0))),"")</f>
        <v>Design</v>
      </c>
      <c r="D50" s="2" t="n">
        <f aca="false">IFERROR(IF(INT(LARGE(F61:F110,3))=0,"",INT(LARGE(F61:F110,3))),"")</f>
        <v>3</v>
      </c>
      <c r="E50" s="2"/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2"/>
      <c r="B51" s="2" t="str">
        <f aca="false">IFERROR(IF(INT(LARGE(F61:F110,4))=0,"",INDEX(D61:D110,MATCH(LARGE(F61:F110,4),F61:F110,0))),"")</f>
        <v>Owen Murphy</v>
      </c>
      <c r="C51" s="2" t="str">
        <f aca="false">IFERROR(IF(INT(LARGE(F61:F110,4))=0,"",INDEX(E61:E110,MATCH(LARGE(F61:F110,4),F61:F110,0))),"")</f>
        <v>Operations</v>
      </c>
      <c r="D51" s="2" t="n">
        <f aca="false">IFERROR(IF(INT(LARGE(F61:F110,4))=0,"",INT(LARGE(F61:F110,4))),"")</f>
        <v>3</v>
      </c>
      <c r="E51" s="2"/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2"/>
      <c r="B52" s="2" t="str">
        <f aca="false">IFERROR(IF(INT(LARGE(F61:F110,5))=0,"",INDEX(D61:D110,MATCH(LARGE(F61:F110,5),F61:F110,0))),"")</f>
        <v>Nina Morris</v>
      </c>
      <c r="C52" s="2" t="str">
        <f aca="false">IFERROR(IF(INT(LARGE(F61:F110,5))=0,"",INDEX(E61:E110,MATCH(LARGE(F61:F110,5),F61:F110,0))),"")</f>
        <v>Engineering</v>
      </c>
      <c r="D52" s="2" t="n">
        <f aca="false">IFERROR(IF(INT(LARGE(F61:F110,5))=0,"",INT(LARGE(F61:F110,5))),"")</f>
        <v>3</v>
      </c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 t="str">
        <f aca="false">IFERROR(IF(INT(LARGE(F61:F110,6))=0,"",INDEX(D61:D110,MATCH(LARGE(F61:F110,6),F61:F110,0))),"")</f>
        <v>Jade Edwards</v>
      </c>
      <c r="C53" s="2" t="str">
        <f aca="false">IFERROR(IF(INT(LARGE(F61:F110,6))=0,"",INDEX(E61:E110,MATCH(LARGE(F61:F110,6),F61:F110,0))),"")</f>
        <v>Engineering</v>
      </c>
      <c r="D53" s="2" t="n">
        <f aca="false">IFERROR(IF(INT(LARGE(F61:F110,6))=0,"",INT(LARGE(F61:F110,6))),"")</f>
        <v>3</v>
      </c>
      <c r="E53" s="2"/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2"/>
      <c r="B54" s="2" t="str">
        <f aca="false">IFERROR(IF(INT(LARGE(F61:F110,7))=0,"",INDEX(D61:D110,MATCH(LARGE(F61:F110,7),F61:F110,0))),"")</f>
        <v>Caleb Carter</v>
      </c>
      <c r="C54" s="2" t="str">
        <f aca="false">IFERROR(IF(INT(LARGE(F61:F110,7))=0,"",INDEX(E61:E110,MATCH(LARGE(F61:F110,7),F61:F110,0))),"")</f>
        <v>Finance</v>
      </c>
      <c r="D54" s="2" t="n">
        <f aca="false">IFERROR(IF(INT(LARGE(F61:F110,7))=0,"",INT(LARGE(F61:F110,7))),"")</f>
        <v>3</v>
      </c>
      <c r="E54" s="2"/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2"/>
      <c r="B55" s="2" t="str">
        <f aca="false">IFERROR(IF(INT(LARGE(F61:F110,8))=0,"",INDEX(D61:D110,MATCH(LARGE(F61:F110,8),F61:F110,0))),"")</f>
        <v>Aiden Hill</v>
      </c>
      <c r="C55" s="2" t="str">
        <f aca="false">IFERROR(IF(INT(LARGE(F61:F110,8))=0,"",INDEX(E61:E110,MATCH(LARGE(F61:F110,8),F61:F110,0))),"")</f>
        <v>PMO</v>
      </c>
      <c r="D55" s="2" t="n">
        <f aca="false">IFERROR(IF(INT(LARGE(F61:F110,8))=0,"",INT(LARGE(F61:F110,8))),"")</f>
        <v>3</v>
      </c>
      <c r="E55" s="2"/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2"/>
      <c r="B56" s="2" t="str">
        <f aca="false">IFERROR(IF(INT(LARGE(F61:F110,9))=0,"",INDEX(D61:D110,MATCH(LARGE(F61:F110,9),F61:F110,0))),"")</f>
        <v>Victor Wright</v>
      </c>
      <c r="C56" s="2" t="str">
        <f aca="false">IFERROR(IF(INT(LARGE(F61:F110,9))=0,"",INDEX(E61:E110,MATCH(LARGE(F61:F110,9),F61:F110,0))),"")</f>
        <v>Operations</v>
      </c>
      <c r="D56" s="2" t="n">
        <f aca="false">IFERROR(IF(INT(LARGE(F61:F110,9))=0,"",INT(LARGE(F61:F110,9))),"")</f>
        <v>3</v>
      </c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2"/>
      <c r="B57" s="2" t="str">
        <f aca="false">IFERROR(IF(INT(LARGE(F61:F110,10))=0,"",INDEX(D61:D110,MATCH(LARGE(F61:F110,10),F61:F110,0))),"")</f>
        <v>Sofia Young</v>
      </c>
      <c r="C57" s="2" t="str">
        <f aca="false">IFERROR(IF(INT(LARGE(F61:F110,10))=0,"",INDEX(E61:E110,MATCH(LARGE(F61:F110,10),F61:F110,0))),"")</f>
        <v>PMO</v>
      </c>
      <c r="D57" s="2" t="n">
        <f aca="false">IFERROR(IF(INT(LARGE(F61:F110,10))=0,"",INT(LARGE(F61:F110,10))),"")</f>
        <v>3</v>
      </c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15" hidden="false" customHeight="false" outlineLevel="0" collapsed="false">
      <c r="A60" s="2"/>
      <c r="B60" s="3" t="s">
        <v>373</v>
      </c>
      <c r="C60" s="21" t="s">
        <v>329</v>
      </c>
      <c r="D60" s="21" t="s">
        <v>374</v>
      </c>
      <c r="E60" s="21" t="s">
        <v>375</v>
      </c>
      <c r="F60" s="21" t="s">
        <v>376</v>
      </c>
      <c r="G60" s="2"/>
      <c r="H60" s="2"/>
      <c r="I60" s="2"/>
      <c r="J60" s="2"/>
      <c r="K60" s="2"/>
    </row>
    <row r="61" customFormat="false" ht="15" hidden="false" customHeight="false" outlineLevel="0" collapsed="false">
      <c r="A61" s="2"/>
      <c r="B61" s="2"/>
      <c r="C61" s="21" t="n">
        <v>1</v>
      </c>
      <c r="D61" s="21" t="s">
        <v>95</v>
      </c>
      <c r="E61" s="21" t="s">
        <v>335</v>
      </c>
      <c r="F61" s="21" t="n">
        <f aca="false">COUNTIFS(tTime[employee_id],C61,tTime[capacity_flag],"Overallocated")+C61/1000000</f>
        <v>1E-006</v>
      </c>
      <c r="G61" s="2"/>
      <c r="H61" s="2"/>
      <c r="I61" s="2"/>
      <c r="J61" s="2"/>
      <c r="K61" s="2"/>
    </row>
    <row r="62" customFormat="false" ht="15" hidden="false" customHeight="false" outlineLevel="0" collapsed="false">
      <c r="A62" s="2"/>
      <c r="B62" s="2"/>
      <c r="C62" s="21" t="n">
        <v>2</v>
      </c>
      <c r="D62" s="21" t="s">
        <v>47</v>
      </c>
      <c r="E62" s="21" t="s">
        <v>336</v>
      </c>
      <c r="F62" s="21" t="n">
        <f aca="false">COUNTIFS(tTime[employee_id],C62,tTime[capacity_flag],"Overallocated")+C62/1000000</f>
        <v>2.000002</v>
      </c>
      <c r="G62" s="2"/>
      <c r="H62" s="2"/>
      <c r="I62" s="2"/>
      <c r="J62" s="2"/>
      <c r="K62" s="2"/>
    </row>
    <row r="63" customFormat="false" ht="15" hidden="false" customHeight="false" outlineLevel="0" collapsed="false">
      <c r="A63" s="2"/>
      <c r="B63" s="2"/>
      <c r="C63" s="21" t="n">
        <v>3</v>
      </c>
      <c r="D63" s="21" t="s">
        <v>44</v>
      </c>
      <c r="E63" s="21" t="s">
        <v>337</v>
      </c>
      <c r="F63" s="21" t="n">
        <f aca="false">COUNTIFS(tTime[employee_id],C63,tTime[capacity_flag],"Overallocated")+C63/1000000</f>
        <v>2.000003</v>
      </c>
      <c r="G63" s="2"/>
      <c r="H63" s="2"/>
      <c r="I63" s="2"/>
      <c r="J63" s="2"/>
      <c r="K63" s="2"/>
    </row>
    <row r="64" customFormat="false" ht="15" hidden="false" customHeight="false" outlineLevel="0" collapsed="false">
      <c r="A64" s="2"/>
      <c r="B64" s="2"/>
      <c r="C64" s="21" t="n">
        <v>4</v>
      </c>
      <c r="D64" s="21" t="s">
        <v>66</v>
      </c>
      <c r="E64" s="21" t="s">
        <v>336</v>
      </c>
      <c r="F64" s="21" t="n">
        <f aca="false">COUNTIFS(tTime[employee_id],C64,tTime[capacity_flag],"Overallocated")+C64/1000000</f>
        <v>1.000004</v>
      </c>
      <c r="G64" s="2"/>
      <c r="H64" s="2"/>
      <c r="I64" s="2"/>
      <c r="J64" s="2"/>
      <c r="K64" s="2"/>
    </row>
    <row r="65" customFormat="false" ht="15" hidden="false" customHeight="false" outlineLevel="0" collapsed="false">
      <c r="A65" s="2"/>
      <c r="B65" s="2"/>
      <c r="C65" s="21" t="n">
        <v>5</v>
      </c>
      <c r="D65" s="21" t="s">
        <v>57</v>
      </c>
      <c r="E65" s="21" t="s">
        <v>337</v>
      </c>
      <c r="F65" s="21" t="n">
        <f aca="false">COUNTIFS(tTime[employee_id],C65,tTime[capacity_flag],"Overallocated")+C65/1000000</f>
        <v>5E-006</v>
      </c>
      <c r="G65" s="2"/>
      <c r="H65" s="2"/>
      <c r="I65" s="2"/>
      <c r="J65" s="2"/>
      <c r="K65" s="2"/>
    </row>
    <row r="66" customFormat="false" ht="15" hidden="false" customHeight="false" outlineLevel="0" collapsed="false">
      <c r="A66" s="2"/>
      <c r="B66" s="2"/>
      <c r="C66" s="21" t="n">
        <v>6</v>
      </c>
      <c r="D66" s="21" t="s">
        <v>41</v>
      </c>
      <c r="E66" s="21" t="s">
        <v>336</v>
      </c>
      <c r="F66" s="21" t="n">
        <f aca="false">COUNTIFS(tTime[employee_id],C66,tTime[capacity_flag],"Overallocated")+C66/1000000</f>
        <v>1.000006</v>
      </c>
      <c r="G66" s="2"/>
      <c r="H66" s="2"/>
      <c r="I66" s="2"/>
      <c r="J66" s="2"/>
      <c r="K66" s="2"/>
    </row>
    <row r="67" customFormat="false" ht="15" hidden="false" customHeight="false" outlineLevel="0" collapsed="false">
      <c r="A67" s="2"/>
      <c r="B67" s="2"/>
      <c r="C67" s="21" t="n">
        <v>7</v>
      </c>
      <c r="D67" s="21" t="s">
        <v>192</v>
      </c>
      <c r="E67" s="21" t="s">
        <v>336</v>
      </c>
      <c r="F67" s="21" t="n">
        <f aca="false">COUNTIFS(tTime[employee_id],C67,tTime[capacity_flag],"Overallocated")+C67/1000000</f>
        <v>2.000007</v>
      </c>
      <c r="G67" s="2"/>
      <c r="H67" s="2"/>
      <c r="I67" s="2"/>
      <c r="J67" s="2"/>
      <c r="K67" s="2"/>
    </row>
    <row r="68" customFormat="false" ht="15" hidden="false" customHeight="false" outlineLevel="0" collapsed="false">
      <c r="A68" s="2"/>
      <c r="B68" s="2"/>
      <c r="C68" s="21" t="n">
        <v>8</v>
      </c>
      <c r="D68" s="21" t="s">
        <v>99</v>
      </c>
      <c r="E68" s="21" t="s">
        <v>336</v>
      </c>
      <c r="F68" s="21" t="n">
        <f aca="false">COUNTIFS(tTime[employee_id],C68,tTime[capacity_flag],"Overallocated")+C68/1000000</f>
        <v>2.000008</v>
      </c>
      <c r="G68" s="2"/>
      <c r="H68" s="2"/>
      <c r="I68" s="2"/>
      <c r="J68" s="2"/>
      <c r="K68" s="2"/>
    </row>
    <row r="69" customFormat="false" ht="15" hidden="false" customHeight="false" outlineLevel="0" collapsed="false">
      <c r="A69" s="2"/>
      <c r="B69" s="2"/>
      <c r="C69" s="21" t="n">
        <v>9</v>
      </c>
      <c r="D69" s="21" t="s">
        <v>229</v>
      </c>
      <c r="E69" s="21" t="s">
        <v>335</v>
      </c>
      <c r="F69" s="21" t="n">
        <f aca="false">COUNTIFS(tTime[employee_id],C69,tTime[capacity_flag],"Overallocated")+C69/1000000</f>
        <v>3.000009</v>
      </c>
      <c r="G69" s="2"/>
      <c r="H69" s="2"/>
      <c r="I69" s="2"/>
      <c r="J69" s="2"/>
      <c r="K69" s="2"/>
    </row>
    <row r="70" customFormat="false" ht="15" hidden="false" customHeight="false" outlineLevel="0" collapsed="false">
      <c r="A70" s="2"/>
      <c r="B70" s="2"/>
      <c r="C70" s="21" t="n">
        <v>10</v>
      </c>
      <c r="D70" s="21" t="s">
        <v>222</v>
      </c>
      <c r="E70" s="21" t="s">
        <v>337</v>
      </c>
      <c r="F70" s="21" t="n">
        <f aca="false">COUNTIFS(tTime[employee_id],C70,tTime[capacity_flag],"Overallocated")+C70/1000000</f>
        <v>1.00001</v>
      </c>
      <c r="G70" s="2"/>
      <c r="H70" s="2"/>
      <c r="I70" s="2"/>
      <c r="J70" s="2"/>
      <c r="K70" s="2"/>
    </row>
    <row r="71" customFormat="false" ht="15" hidden="false" customHeight="false" outlineLevel="0" collapsed="false">
      <c r="A71" s="2"/>
      <c r="B71" s="2"/>
      <c r="C71" s="21" t="n">
        <v>11</v>
      </c>
      <c r="D71" s="21" t="s">
        <v>286</v>
      </c>
      <c r="E71" s="21" t="s">
        <v>337</v>
      </c>
      <c r="F71" s="21" t="n">
        <f aca="false">COUNTIFS(tTime[employee_id],C71,tTime[capacity_flag],"Overallocated")+C71/1000000</f>
        <v>1.000011</v>
      </c>
      <c r="G71" s="2"/>
      <c r="H71" s="2"/>
      <c r="I71" s="2"/>
      <c r="J71" s="2"/>
      <c r="K71" s="2"/>
    </row>
    <row r="72" customFormat="false" ht="15" hidden="false" customHeight="false" outlineLevel="0" collapsed="false">
      <c r="A72" s="2"/>
      <c r="B72" s="2"/>
      <c r="C72" s="21" t="n">
        <v>12</v>
      </c>
      <c r="D72" s="21" t="s">
        <v>188</v>
      </c>
      <c r="E72" s="21" t="s">
        <v>337</v>
      </c>
      <c r="F72" s="21" t="n">
        <f aca="false">COUNTIFS(tTime[employee_id],C72,tTime[capacity_flag],"Overallocated")+C72/1000000</f>
        <v>1.2E-005</v>
      </c>
      <c r="G72" s="2"/>
      <c r="H72" s="2"/>
      <c r="I72" s="2"/>
      <c r="J72" s="2"/>
      <c r="K72" s="2"/>
    </row>
    <row r="73" customFormat="false" ht="15" hidden="false" customHeight="false" outlineLevel="0" collapsed="false">
      <c r="A73" s="2"/>
      <c r="B73" s="2"/>
      <c r="C73" s="21" t="n">
        <v>13</v>
      </c>
      <c r="D73" s="21" t="s">
        <v>131</v>
      </c>
      <c r="E73" s="21" t="s">
        <v>338</v>
      </c>
      <c r="F73" s="21" t="n">
        <f aca="false">COUNTIFS(tTime[employee_id],C73,tTime[capacity_flag],"Overallocated")+C73/1000000</f>
        <v>3.000013</v>
      </c>
      <c r="G73" s="2"/>
      <c r="H73" s="2"/>
      <c r="I73" s="2"/>
      <c r="J73" s="2"/>
      <c r="K73" s="2"/>
    </row>
    <row r="74" customFormat="false" ht="15" hidden="false" customHeight="false" outlineLevel="0" collapsed="false">
      <c r="A74" s="2"/>
      <c r="B74" s="2"/>
      <c r="C74" s="21" t="n">
        <v>14</v>
      </c>
      <c r="D74" s="21" t="s">
        <v>249</v>
      </c>
      <c r="E74" s="21" t="s">
        <v>335</v>
      </c>
      <c r="F74" s="21" t="n">
        <f aca="false">COUNTIFS(tTime[employee_id],C74,tTime[capacity_flag],"Overallocated")+C74/1000000</f>
        <v>1.000014</v>
      </c>
      <c r="G74" s="2"/>
      <c r="H74" s="2"/>
      <c r="I74" s="2"/>
      <c r="J74" s="2"/>
      <c r="K74" s="2"/>
    </row>
    <row r="75" customFormat="false" ht="15" hidden="false" customHeight="false" outlineLevel="0" collapsed="false">
      <c r="A75" s="2"/>
      <c r="B75" s="2"/>
      <c r="C75" s="21" t="n">
        <v>15</v>
      </c>
      <c r="D75" s="21" t="s">
        <v>153</v>
      </c>
      <c r="E75" s="21" t="s">
        <v>339</v>
      </c>
      <c r="F75" s="21" t="n">
        <f aca="false">COUNTIFS(tTime[employee_id],C75,tTime[capacity_flag],"Overallocated")+C75/1000000</f>
        <v>2.000015</v>
      </c>
      <c r="G75" s="2"/>
      <c r="H75" s="2"/>
      <c r="I75" s="2"/>
      <c r="J75" s="2"/>
      <c r="K75" s="2"/>
    </row>
    <row r="76" customFormat="false" ht="15" hidden="false" customHeight="false" outlineLevel="0" collapsed="false">
      <c r="A76" s="2"/>
      <c r="B76" s="2"/>
      <c r="C76" s="21" t="n">
        <v>16</v>
      </c>
      <c r="D76" s="21" t="s">
        <v>109</v>
      </c>
      <c r="E76" s="21" t="s">
        <v>339</v>
      </c>
      <c r="F76" s="21" t="n">
        <f aca="false">COUNTIFS(tTime[employee_id],C76,tTime[capacity_flag],"Overallocated")+C76/1000000</f>
        <v>1.6E-005</v>
      </c>
      <c r="G76" s="2"/>
      <c r="H76" s="2"/>
      <c r="I76" s="2"/>
      <c r="J76" s="2"/>
      <c r="K76" s="2"/>
    </row>
    <row r="77" customFormat="false" ht="15" hidden="false" customHeight="false" outlineLevel="0" collapsed="false">
      <c r="A77" s="2"/>
      <c r="B77" s="2"/>
      <c r="C77" s="21" t="n">
        <v>17</v>
      </c>
      <c r="D77" s="21" t="s">
        <v>87</v>
      </c>
      <c r="E77" s="21" t="s">
        <v>337</v>
      </c>
      <c r="F77" s="21" t="n">
        <f aca="false">COUNTIFS(tTime[employee_id],C77,tTime[capacity_flag],"Overallocated")+C77/1000000</f>
        <v>1.000017</v>
      </c>
      <c r="G77" s="2"/>
      <c r="H77" s="2"/>
      <c r="I77" s="2"/>
      <c r="J77" s="2"/>
      <c r="K77" s="2"/>
    </row>
    <row r="78" customFormat="false" ht="15" hidden="false" customHeight="false" outlineLevel="0" collapsed="false">
      <c r="A78" s="2"/>
      <c r="B78" s="2"/>
      <c r="C78" s="21" t="n">
        <v>18</v>
      </c>
      <c r="D78" s="21" t="s">
        <v>151</v>
      </c>
      <c r="E78" s="21" t="s">
        <v>336</v>
      </c>
      <c r="F78" s="21" t="n">
        <f aca="false">COUNTIFS(tTime[employee_id],C78,tTime[capacity_flag],"Overallocated")+C78/1000000</f>
        <v>1.000018</v>
      </c>
      <c r="G78" s="2"/>
      <c r="H78" s="2"/>
      <c r="I78" s="2"/>
      <c r="J78" s="2"/>
      <c r="K78" s="2"/>
    </row>
    <row r="79" customFormat="false" ht="15" hidden="false" customHeight="false" outlineLevel="0" collapsed="false">
      <c r="A79" s="2"/>
      <c r="B79" s="2"/>
      <c r="C79" s="21" t="n">
        <v>19</v>
      </c>
      <c r="D79" s="21" t="s">
        <v>90</v>
      </c>
      <c r="E79" s="21" t="s">
        <v>338</v>
      </c>
      <c r="F79" s="21" t="n">
        <f aca="false">COUNTIFS(tTime[employee_id],C79,tTime[capacity_flag],"Overallocated")+C79/1000000</f>
        <v>3.000019</v>
      </c>
      <c r="G79" s="2"/>
      <c r="H79" s="2"/>
      <c r="I79" s="2"/>
      <c r="J79" s="2"/>
      <c r="K79" s="2"/>
    </row>
    <row r="80" customFormat="false" ht="15" hidden="false" customHeight="false" outlineLevel="0" collapsed="false">
      <c r="A80" s="2"/>
      <c r="B80" s="2"/>
      <c r="C80" s="21" t="n">
        <v>20</v>
      </c>
      <c r="D80" s="21" t="s">
        <v>103</v>
      </c>
      <c r="E80" s="21" t="s">
        <v>335</v>
      </c>
      <c r="F80" s="21" t="n">
        <f aca="false">COUNTIFS(tTime[employee_id],C80,tTime[capacity_flag],"Overallocated")+C80/1000000</f>
        <v>1.00002</v>
      </c>
      <c r="G80" s="2"/>
      <c r="H80" s="2"/>
      <c r="I80" s="2"/>
      <c r="J80" s="2"/>
      <c r="K80" s="2"/>
    </row>
    <row r="81" customFormat="false" ht="15" hidden="false" customHeight="false" outlineLevel="0" collapsed="false">
      <c r="A81" s="2"/>
      <c r="B81" s="2"/>
      <c r="C81" s="21" t="n">
        <v>21</v>
      </c>
      <c r="D81" s="21" t="s">
        <v>144</v>
      </c>
      <c r="E81" s="21" t="s">
        <v>335</v>
      </c>
      <c r="F81" s="21" t="n">
        <f aca="false">COUNTIFS(tTime[employee_id],C81,tTime[capacity_flag],"Overallocated")+C81/1000000</f>
        <v>2.000021</v>
      </c>
      <c r="G81" s="2"/>
      <c r="H81" s="2"/>
      <c r="I81" s="2"/>
      <c r="J81" s="2"/>
      <c r="K81" s="2"/>
    </row>
    <row r="82" customFormat="false" ht="15" hidden="false" customHeight="false" outlineLevel="0" collapsed="false">
      <c r="A82" s="2"/>
      <c r="B82" s="2"/>
      <c r="C82" s="21" t="n">
        <v>22</v>
      </c>
      <c r="D82" s="21" t="s">
        <v>155</v>
      </c>
      <c r="E82" s="21" t="s">
        <v>336</v>
      </c>
      <c r="F82" s="21" t="n">
        <f aca="false">COUNTIFS(tTime[employee_id],C82,tTime[capacity_flag],"Overallocated")+C82/1000000</f>
        <v>3.000022</v>
      </c>
      <c r="G82" s="2"/>
      <c r="H82" s="2"/>
      <c r="I82" s="2"/>
      <c r="J82" s="2"/>
      <c r="K82" s="2"/>
    </row>
    <row r="83" customFormat="false" ht="15" hidden="false" customHeight="false" outlineLevel="0" collapsed="false">
      <c r="A83" s="2"/>
      <c r="B83" s="2"/>
      <c r="C83" s="21" t="n">
        <v>23</v>
      </c>
      <c r="D83" s="21" t="s">
        <v>105</v>
      </c>
      <c r="E83" s="21" t="s">
        <v>336</v>
      </c>
      <c r="F83" s="21" t="n">
        <f aca="false">COUNTIFS(tTime[employee_id],C83,tTime[capacity_flag],"Overallocated")+C83/1000000</f>
        <v>1.000023</v>
      </c>
      <c r="G83" s="2"/>
      <c r="H83" s="2"/>
      <c r="I83" s="2"/>
      <c r="J83" s="2"/>
      <c r="K83" s="2"/>
    </row>
    <row r="84" customFormat="false" ht="15" hidden="false" customHeight="false" outlineLevel="0" collapsed="false">
      <c r="A84" s="2"/>
      <c r="B84" s="2"/>
      <c r="C84" s="21" t="n">
        <v>24</v>
      </c>
      <c r="D84" s="21" t="s">
        <v>100</v>
      </c>
      <c r="E84" s="21" t="s">
        <v>338</v>
      </c>
      <c r="F84" s="21" t="n">
        <f aca="false">COUNTIFS(tTime[employee_id],C84,tTime[capacity_flag],"Overallocated")+C84/1000000</f>
        <v>2.000024</v>
      </c>
      <c r="G84" s="2"/>
      <c r="H84" s="2"/>
      <c r="I84" s="2"/>
      <c r="J84" s="2"/>
      <c r="K84" s="2"/>
    </row>
    <row r="85" customFormat="false" ht="15" hidden="false" customHeight="false" outlineLevel="0" collapsed="false">
      <c r="A85" s="2"/>
      <c r="B85" s="2"/>
      <c r="C85" s="21" t="n">
        <v>25</v>
      </c>
      <c r="D85" s="21" t="s">
        <v>125</v>
      </c>
      <c r="E85" s="21" t="s">
        <v>339</v>
      </c>
      <c r="F85" s="21" t="n">
        <f aca="false">COUNTIFS(tTime[employee_id],C85,tTime[capacity_flag],"Overallocated")+C85/1000000</f>
        <v>1.000025</v>
      </c>
      <c r="G85" s="2"/>
      <c r="H85" s="2"/>
      <c r="I85" s="2"/>
      <c r="J85" s="2"/>
      <c r="K85" s="2"/>
    </row>
    <row r="86" customFormat="false" ht="15" hidden="false" customHeight="false" outlineLevel="0" collapsed="false">
      <c r="A86" s="2"/>
      <c r="B86" s="2"/>
      <c r="C86" s="21" t="n">
        <v>26</v>
      </c>
      <c r="D86" s="21" t="s">
        <v>162</v>
      </c>
      <c r="E86" s="21" t="s">
        <v>335</v>
      </c>
      <c r="F86" s="21" t="n">
        <f aca="false">COUNTIFS(tTime[employee_id],C86,tTime[capacity_flag],"Overallocated")+C86/1000000</f>
        <v>2.000026</v>
      </c>
      <c r="G86" s="2"/>
      <c r="H86" s="2"/>
      <c r="I86" s="2"/>
      <c r="J86" s="2"/>
      <c r="K86" s="2"/>
    </row>
    <row r="87" customFormat="false" ht="15" hidden="false" customHeight="false" outlineLevel="0" collapsed="false">
      <c r="A87" s="2"/>
      <c r="B87" s="2"/>
      <c r="C87" s="21" t="n">
        <v>27</v>
      </c>
      <c r="D87" s="21" t="s">
        <v>111</v>
      </c>
      <c r="E87" s="21" t="s">
        <v>338</v>
      </c>
      <c r="F87" s="21" t="n">
        <f aca="false">COUNTIFS(tTime[employee_id],C87,tTime[capacity_flag],"Overallocated")+C87/1000000</f>
        <v>3.000027</v>
      </c>
      <c r="G87" s="2"/>
      <c r="H87" s="2"/>
      <c r="I87" s="2"/>
      <c r="J87" s="2"/>
      <c r="K87" s="2"/>
    </row>
    <row r="88" customFormat="false" ht="15" hidden="false" customHeight="false" outlineLevel="0" collapsed="false">
      <c r="A88" s="2"/>
      <c r="B88" s="2"/>
      <c r="C88" s="21" t="n">
        <v>28</v>
      </c>
      <c r="D88" s="21" t="s">
        <v>160</v>
      </c>
      <c r="E88" s="21" t="s">
        <v>340</v>
      </c>
      <c r="F88" s="21" t="n">
        <f aca="false">COUNTIFS(tTime[employee_id],C88,tTime[capacity_flag],"Overallocated")+C88/1000000</f>
        <v>2.000028</v>
      </c>
      <c r="G88" s="2"/>
      <c r="H88" s="2"/>
      <c r="I88" s="2"/>
      <c r="J88" s="2"/>
      <c r="K88" s="2"/>
    </row>
    <row r="89" customFormat="false" ht="15" hidden="false" customHeight="false" outlineLevel="0" collapsed="false">
      <c r="A89" s="2"/>
      <c r="B89" s="2"/>
      <c r="C89" s="21" t="n">
        <v>29</v>
      </c>
      <c r="D89" s="21" t="s">
        <v>194</v>
      </c>
      <c r="E89" s="21" t="s">
        <v>337</v>
      </c>
      <c r="F89" s="21" t="n">
        <f aca="false">COUNTIFS(tTime[employee_id],C89,tTime[capacity_flag],"Overallocated")+C89/1000000</f>
        <v>3.000029</v>
      </c>
      <c r="G89" s="2"/>
      <c r="H89" s="2"/>
      <c r="I89" s="2"/>
      <c r="J89" s="2"/>
      <c r="K89" s="2"/>
    </row>
    <row r="90" customFormat="false" ht="15" hidden="false" customHeight="false" outlineLevel="0" collapsed="false">
      <c r="A90" s="2"/>
      <c r="B90" s="2"/>
      <c r="C90" s="21" t="n">
        <v>30</v>
      </c>
      <c r="D90" s="21" t="s">
        <v>116</v>
      </c>
      <c r="E90" s="21" t="s">
        <v>338</v>
      </c>
      <c r="F90" s="21" t="n">
        <f aca="false">COUNTIFS(tTime[employee_id],C90,tTime[capacity_flag],"Overallocated")+C90/1000000</f>
        <v>1.00003</v>
      </c>
      <c r="G90" s="2"/>
      <c r="H90" s="2"/>
      <c r="I90" s="2"/>
      <c r="J90" s="2"/>
      <c r="K90" s="2"/>
    </row>
    <row r="91" customFormat="false" ht="15" hidden="false" customHeight="false" outlineLevel="0" collapsed="false">
      <c r="A91" s="2"/>
      <c r="B91" s="2"/>
      <c r="C91" s="21" t="n">
        <v>31</v>
      </c>
      <c r="D91" s="21" t="s">
        <v>204</v>
      </c>
      <c r="E91" s="21" t="s">
        <v>335</v>
      </c>
      <c r="F91" s="21" t="n">
        <f aca="false">COUNTIFS(tTime[employee_id],C91,tTime[capacity_flag],"Overallocated")+C91/1000000</f>
        <v>2.000031</v>
      </c>
      <c r="G91" s="2"/>
      <c r="H91" s="2"/>
      <c r="I91" s="2"/>
      <c r="J91" s="2"/>
      <c r="K91" s="2"/>
    </row>
    <row r="92" customFormat="false" ht="15" hidden="false" customHeight="false" outlineLevel="0" collapsed="false">
      <c r="A92" s="2"/>
      <c r="B92" s="2"/>
      <c r="C92" s="21" t="n">
        <v>32</v>
      </c>
      <c r="D92" s="21" t="s">
        <v>267</v>
      </c>
      <c r="E92" s="21" t="s">
        <v>335</v>
      </c>
      <c r="F92" s="21" t="n">
        <f aca="false">COUNTIFS(tTime[employee_id],C92,tTime[capacity_flag],"Overallocated")+C92/1000000</f>
        <v>3.2E-005</v>
      </c>
      <c r="G92" s="2"/>
      <c r="H92" s="2"/>
      <c r="I92" s="2"/>
      <c r="J92" s="2"/>
      <c r="K92" s="2"/>
    </row>
    <row r="93" customFormat="false" ht="15" hidden="false" customHeight="false" outlineLevel="0" collapsed="false">
      <c r="A93" s="2"/>
      <c r="B93" s="2"/>
      <c r="C93" s="21" t="n">
        <v>33</v>
      </c>
      <c r="D93" s="21" t="s">
        <v>135</v>
      </c>
      <c r="E93" s="21" t="s">
        <v>337</v>
      </c>
      <c r="F93" s="21" t="n">
        <f aca="false">COUNTIFS(tTime[employee_id],C93,tTime[capacity_flag],"Overallocated")+C93/1000000</f>
        <v>2.000033</v>
      </c>
      <c r="G93" s="2"/>
      <c r="H93" s="2"/>
      <c r="I93" s="2"/>
      <c r="J93" s="2"/>
      <c r="K93" s="2"/>
    </row>
    <row r="94" customFormat="false" ht="15" hidden="false" customHeight="false" outlineLevel="0" collapsed="false">
      <c r="A94" s="2"/>
      <c r="B94" s="2"/>
      <c r="C94" s="21" t="n">
        <v>34</v>
      </c>
      <c r="D94" s="21" t="s">
        <v>251</v>
      </c>
      <c r="E94" s="21" t="s">
        <v>336</v>
      </c>
      <c r="F94" s="21" t="n">
        <f aca="false">COUNTIFS(tTime[employee_id],C94,tTime[capacity_flag],"Overallocated")+C94/1000000</f>
        <v>4.000034</v>
      </c>
      <c r="G94" s="2"/>
      <c r="H94" s="2"/>
      <c r="I94" s="2"/>
      <c r="J94" s="2"/>
      <c r="K94" s="2"/>
    </row>
    <row r="95" customFormat="false" ht="15" hidden="false" customHeight="false" outlineLevel="0" collapsed="false">
      <c r="A95" s="2"/>
      <c r="B95" s="2"/>
      <c r="C95" s="21" t="n">
        <v>35</v>
      </c>
      <c r="D95" s="21" t="s">
        <v>37</v>
      </c>
      <c r="E95" s="21" t="s">
        <v>337</v>
      </c>
      <c r="F95" s="21" t="n">
        <f aca="false">COUNTIFS(tTime[employee_id],C95,tTime[capacity_flag],"Overallocated")+C95/1000000</f>
        <v>2.000035</v>
      </c>
      <c r="G95" s="2"/>
      <c r="H95" s="2"/>
      <c r="I95" s="2"/>
      <c r="J95" s="2"/>
      <c r="K95" s="2"/>
    </row>
    <row r="96" customFormat="false" ht="15" hidden="false" customHeight="false" outlineLevel="0" collapsed="false">
      <c r="A96" s="2"/>
      <c r="B96" s="2"/>
      <c r="C96" s="21" t="n">
        <v>36</v>
      </c>
      <c r="D96" s="21" t="s">
        <v>146</v>
      </c>
      <c r="E96" s="21" t="s">
        <v>339</v>
      </c>
      <c r="F96" s="21" t="n">
        <f aca="false">COUNTIFS(tTime[employee_id],C96,tTime[capacity_flag],"Overallocated")+C96/1000000</f>
        <v>3.000036</v>
      </c>
      <c r="G96" s="2"/>
      <c r="H96" s="2"/>
      <c r="I96" s="2"/>
      <c r="J96" s="2"/>
      <c r="K96" s="2"/>
    </row>
    <row r="97" customFormat="false" ht="15" hidden="false" customHeight="false" outlineLevel="0" collapsed="false">
      <c r="A97" s="2"/>
      <c r="B97" s="2"/>
      <c r="C97" s="21" t="n">
        <v>37</v>
      </c>
      <c r="D97" s="21" t="s">
        <v>175</v>
      </c>
      <c r="E97" s="21" t="s">
        <v>335</v>
      </c>
      <c r="F97" s="21" t="n">
        <f aca="false">COUNTIFS(tTime[employee_id],C97,tTime[capacity_flag],"Overallocated")+C97/1000000</f>
        <v>1.000037</v>
      </c>
      <c r="G97" s="2"/>
      <c r="H97" s="2"/>
      <c r="I97" s="2"/>
      <c r="J97" s="2"/>
      <c r="K97" s="2"/>
    </row>
    <row r="98" customFormat="false" ht="15" hidden="false" customHeight="false" outlineLevel="0" collapsed="false">
      <c r="A98" s="2"/>
      <c r="B98" s="2"/>
      <c r="C98" s="21" t="n">
        <v>38</v>
      </c>
      <c r="D98" s="21" t="s">
        <v>121</v>
      </c>
      <c r="E98" s="21" t="s">
        <v>335</v>
      </c>
      <c r="F98" s="21" t="n">
        <f aca="false">COUNTIFS(tTime[employee_id],C98,tTime[capacity_flag],"Overallocated")+C98/1000000</f>
        <v>1.000038</v>
      </c>
      <c r="G98" s="2"/>
      <c r="H98" s="2"/>
      <c r="I98" s="2"/>
      <c r="J98" s="2"/>
      <c r="K98" s="2"/>
    </row>
    <row r="99" customFormat="false" ht="15" hidden="false" customHeight="false" outlineLevel="0" collapsed="false">
      <c r="A99" s="2"/>
      <c r="B99" s="2"/>
      <c r="C99" s="21" t="n">
        <v>39</v>
      </c>
      <c r="D99" s="21" t="s">
        <v>198</v>
      </c>
      <c r="E99" s="21" t="s">
        <v>336</v>
      </c>
      <c r="F99" s="21" t="n">
        <f aca="false">COUNTIFS(tTime[employee_id],C99,tTime[capacity_flag],"Overallocated")+C99/1000000</f>
        <v>2.000039</v>
      </c>
      <c r="G99" s="2"/>
      <c r="H99" s="2"/>
      <c r="I99" s="2"/>
      <c r="J99" s="2"/>
      <c r="K99" s="2"/>
    </row>
    <row r="100" customFormat="false" ht="15" hidden="false" customHeight="false" outlineLevel="0" collapsed="false">
      <c r="A100" s="2"/>
      <c r="B100" s="2"/>
      <c r="C100" s="21" t="n">
        <v>40</v>
      </c>
      <c r="D100" s="21" t="s">
        <v>201</v>
      </c>
      <c r="E100" s="21" t="s">
        <v>339</v>
      </c>
      <c r="F100" s="21" t="n">
        <f aca="false">COUNTIFS(tTime[employee_id],C100,tTime[capacity_flag],"Overallocated")+C100/1000000</f>
        <v>3.00004</v>
      </c>
      <c r="G100" s="2"/>
      <c r="H100" s="2"/>
      <c r="I100" s="2"/>
      <c r="J100" s="2"/>
      <c r="K100" s="2"/>
    </row>
    <row r="101" customFormat="false" ht="15" hidden="false" customHeight="false" outlineLevel="0" collapsed="false">
      <c r="A101" s="2"/>
      <c r="B101" s="2"/>
      <c r="C101" s="21" t="n">
        <v>41</v>
      </c>
      <c r="D101" s="21" t="s">
        <v>92</v>
      </c>
      <c r="E101" s="21" t="s">
        <v>336</v>
      </c>
      <c r="F101" s="21" t="n">
        <f aca="false">COUNTIFS(tTime[employee_id],C101,tTime[capacity_flag],"Overallocated")+C101/1000000</f>
        <v>3.000041</v>
      </c>
      <c r="G101" s="2"/>
      <c r="H101" s="2"/>
      <c r="I101" s="2"/>
      <c r="J101" s="2"/>
      <c r="K101" s="2"/>
    </row>
    <row r="102" customFormat="false" ht="15" hidden="false" customHeight="false" outlineLevel="0" collapsed="false">
      <c r="A102" s="2"/>
      <c r="B102" s="2"/>
      <c r="C102" s="21" t="n">
        <v>42</v>
      </c>
      <c r="D102" s="21" t="s">
        <v>165</v>
      </c>
      <c r="E102" s="21" t="s">
        <v>340</v>
      </c>
      <c r="F102" s="21" t="n">
        <f aca="false">COUNTIFS(tTime[employee_id],C102,tTime[capacity_flag],"Overallocated")+C102/1000000</f>
        <v>3.000042</v>
      </c>
      <c r="G102" s="2"/>
      <c r="H102" s="2"/>
      <c r="I102" s="2"/>
      <c r="J102" s="2"/>
      <c r="K102" s="2"/>
    </row>
    <row r="103" customFormat="false" ht="15" hidden="false" customHeight="false" outlineLevel="0" collapsed="false">
      <c r="A103" s="2"/>
      <c r="B103" s="2"/>
      <c r="C103" s="21" t="n">
        <v>43</v>
      </c>
      <c r="D103" s="21" t="s">
        <v>118</v>
      </c>
      <c r="E103" s="21" t="s">
        <v>337</v>
      </c>
      <c r="F103" s="21" t="n">
        <f aca="false">COUNTIFS(tTime[employee_id],C103,tTime[capacity_flag],"Overallocated")+C103/1000000</f>
        <v>2.000043</v>
      </c>
      <c r="G103" s="2"/>
      <c r="H103" s="2"/>
      <c r="I103" s="2"/>
      <c r="J103" s="2"/>
      <c r="K103" s="2"/>
    </row>
    <row r="104" customFormat="false" ht="15" hidden="false" customHeight="false" outlineLevel="0" collapsed="false">
      <c r="A104" s="2"/>
      <c r="B104" s="2"/>
      <c r="C104" s="21" t="n">
        <v>44</v>
      </c>
      <c r="D104" s="21" t="s">
        <v>138</v>
      </c>
      <c r="E104" s="21" t="s">
        <v>335</v>
      </c>
      <c r="F104" s="21" t="n">
        <f aca="false">COUNTIFS(tTime[employee_id],C104,tTime[capacity_flag],"Overallocated")+C104/1000000</f>
        <v>1.000044</v>
      </c>
      <c r="G104" s="2"/>
      <c r="H104" s="2"/>
      <c r="I104" s="2"/>
      <c r="J104" s="2"/>
      <c r="K104" s="2"/>
    </row>
    <row r="105" customFormat="false" ht="15" hidden="false" customHeight="false" outlineLevel="0" collapsed="false">
      <c r="A105" s="2"/>
      <c r="B105" s="2"/>
      <c r="C105" s="21" t="n">
        <v>45</v>
      </c>
      <c r="D105" s="21" t="s">
        <v>113</v>
      </c>
      <c r="E105" s="21" t="s">
        <v>337</v>
      </c>
      <c r="F105" s="21" t="n">
        <f aca="false">COUNTIFS(tTime[employee_id],C105,tTime[capacity_flag],"Overallocated")+C105/1000000</f>
        <v>3.000045</v>
      </c>
      <c r="G105" s="2"/>
      <c r="H105" s="2"/>
      <c r="I105" s="2"/>
      <c r="J105" s="2"/>
      <c r="K105" s="2"/>
    </row>
    <row r="106" customFormat="false" ht="15" hidden="false" customHeight="false" outlineLevel="0" collapsed="false">
      <c r="A106" s="2"/>
      <c r="B106" s="2"/>
      <c r="C106" s="21" t="n">
        <v>46</v>
      </c>
      <c r="D106" s="21" t="s">
        <v>51</v>
      </c>
      <c r="E106" s="21" t="s">
        <v>336</v>
      </c>
      <c r="F106" s="21" t="n">
        <f aca="false">COUNTIFS(tTime[employee_id],C106,tTime[capacity_flag],"Overallocated")+C106/1000000</f>
        <v>4.6E-005</v>
      </c>
      <c r="G106" s="2"/>
      <c r="H106" s="2"/>
      <c r="I106" s="2"/>
      <c r="J106" s="2"/>
      <c r="K106" s="2"/>
    </row>
    <row r="107" customFormat="false" ht="15" hidden="false" customHeight="false" outlineLevel="0" collapsed="false">
      <c r="A107" s="2"/>
      <c r="B107" s="2"/>
      <c r="C107" s="21" t="n">
        <v>47</v>
      </c>
      <c r="D107" s="21" t="s">
        <v>123</v>
      </c>
      <c r="E107" s="21" t="s">
        <v>335</v>
      </c>
      <c r="F107" s="21" t="n">
        <f aca="false">COUNTIFS(tTime[employee_id],C107,tTime[capacity_flag],"Overallocated")+C107/1000000</f>
        <v>2.000047</v>
      </c>
      <c r="G107" s="2"/>
      <c r="H107" s="2"/>
      <c r="I107" s="2"/>
      <c r="J107" s="2"/>
      <c r="K107" s="2"/>
    </row>
    <row r="108" customFormat="false" ht="15" hidden="false" customHeight="false" outlineLevel="0" collapsed="false">
      <c r="A108" s="2"/>
      <c r="B108" s="2"/>
      <c r="C108" s="21" t="n">
        <v>48</v>
      </c>
      <c r="D108" s="21" t="s">
        <v>97</v>
      </c>
      <c r="E108" s="21" t="s">
        <v>336</v>
      </c>
      <c r="F108" s="21" t="n">
        <f aca="false">COUNTIFS(tTime[employee_id],C108,tTime[capacity_flag],"Overallocated")+C108/1000000</f>
        <v>1.000048</v>
      </c>
      <c r="G108" s="2"/>
      <c r="H108" s="2"/>
      <c r="I108" s="2"/>
      <c r="J108" s="2"/>
      <c r="K108" s="2"/>
    </row>
    <row r="109" customFormat="false" ht="15" hidden="false" customHeight="false" outlineLevel="0" collapsed="false">
      <c r="A109" s="2"/>
      <c r="B109" s="2"/>
      <c r="C109" s="21" t="n">
        <v>49</v>
      </c>
      <c r="D109" s="21" t="s">
        <v>148</v>
      </c>
      <c r="E109" s="21" t="s">
        <v>336</v>
      </c>
      <c r="F109" s="21" t="n">
        <f aca="false">COUNTIFS(tTime[employee_id],C109,tTime[capacity_flag],"Overallocated")+C109/1000000</f>
        <v>4.9E-005</v>
      </c>
      <c r="G109" s="2"/>
      <c r="H109" s="2"/>
      <c r="I109" s="2"/>
      <c r="J109" s="2"/>
      <c r="K109" s="2"/>
    </row>
    <row r="110" customFormat="false" ht="15" hidden="false" customHeight="false" outlineLevel="0" collapsed="false">
      <c r="A110" s="2"/>
      <c r="B110" s="2"/>
      <c r="C110" s="21" t="n">
        <v>50</v>
      </c>
      <c r="D110" s="21" t="s">
        <v>107</v>
      </c>
      <c r="E110" s="21" t="s">
        <v>335</v>
      </c>
      <c r="F110" s="21" t="n">
        <f aca="false">COUNTIFS(tTime[employee_id],C110,tTime[capacity_flag],"Overallocated")+C110/1000000</f>
        <v>5E-005</v>
      </c>
      <c r="G110" s="2"/>
      <c r="H110" s="2"/>
      <c r="I110" s="2"/>
      <c r="J110" s="2"/>
      <c r="K110" s="2"/>
    </row>
  </sheetData>
  <mergeCells count="10">
    <mergeCell ref="B6:C6"/>
    <mergeCell ref="D6:E6"/>
    <mergeCell ref="F6:G6"/>
    <mergeCell ref="H6:I6"/>
    <mergeCell ref="J6:K6"/>
    <mergeCell ref="B7:C8"/>
    <mergeCell ref="D7:E8"/>
    <mergeCell ref="F7:G8"/>
    <mergeCell ref="H7:I8"/>
    <mergeCell ref="J7:K8"/>
  </mergeCells>
  <conditionalFormatting sqref="B13:B15">
    <cfRule type="cellIs" priority="2" operator="equal" aboveAverage="0" equalAverage="0" bottom="0" percent="0" rank="0" text="" dxfId="8">
      <formula>"On Track"</formula>
    </cfRule>
    <cfRule type="cellIs" priority="3" operator="equal" aboveAverage="0" equalAverage="0" bottom="0" percent="0" rank="0" text="" dxfId="9">
      <formula>"At Risk"</formula>
    </cfRule>
    <cfRule type="cellIs" priority="4" operator="equal" aboveAverage="0" equalAverage="0" bottom="0" percent="0" rank="0" text="" dxfId="10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2" style="0" width="1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2.05" hidden="false" customHeight="false" outlineLevel="0" collapsed="false">
      <c r="A2" s="2"/>
      <c r="B2" s="1" t="s">
        <v>377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3" t="s">
        <v>378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21.75" hidden="false" customHeight="true" outlineLevel="0" collapsed="false">
      <c r="A5" s="2"/>
      <c r="B5" s="12" t="s">
        <v>379</v>
      </c>
      <c r="C5" s="12"/>
      <c r="D5" s="13" t="s">
        <v>380</v>
      </c>
      <c r="E5" s="13"/>
      <c r="F5" s="15" t="s">
        <v>381</v>
      </c>
      <c r="G5" s="15"/>
      <c r="H5" s="16" t="s">
        <v>382</v>
      </c>
      <c r="I5" s="16"/>
      <c r="J5" s="2"/>
      <c r="K5" s="2"/>
    </row>
    <row r="6" customFormat="false" ht="31.5" hidden="false" customHeight="true" outlineLevel="0" collapsed="false">
      <c r="A6" s="2"/>
      <c r="B6" s="17" t="n">
        <f aca="false">COUNTA(tProjects[project_id])</f>
        <v>20</v>
      </c>
      <c r="C6" s="17"/>
      <c r="D6" s="22" t="n">
        <f aca="false">IFERROR(COUNTIFS(tProjects[health_flag],"On Track")/COUNTA(tProjects[project_id]),0)</f>
        <v>0.55</v>
      </c>
      <c r="E6" s="22"/>
      <c r="F6" s="22" t="n">
        <f aca="false">IFERROR(COUNTIFS(tProjects[health_flag],"Over Budget")/COUNTA(tProjects[project_id]),0)</f>
        <v>0.2</v>
      </c>
      <c r="G6" s="22"/>
      <c r="H6" s="23" t="n">
        <f aca="false">SUMIFS(tProjects[overrun],tProjects[overrun],"&gt;0")</f>
        <v>95523.62</v>
      </c>
      <c r="I6" s="23"/>
      <c r="J6" s="2"/>
      <c r="K6" s="2"/>
    </row>
    <row r="7" customFormat="false" ht="12" hidden="false" customHeight="true" outlineLevel="0" collapsed="false">
      <c r="A7" s="2"/>
      <c r="B7" s="17"/>
      <c r="C7" s="17"/>
      <c r="D7" s="22"/>
      <c r="E7" s="22"/>
      <c r="F7" s="22"/>
      <c r="G7" s="22"/>
      <c r="H7" s="23"/>
      <c r="I7" s="23"/>
      <c r="J7" s="2"/>
      <c r="K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2"/>
      <c r="B10" s="18" t="s">
        <v>383</v>
      </c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"/>
      <c r="B11" s="24" t="s">
        <v>384</v>
      </c>
      <c r="C11" s="24"/>
      <c r="D11" s="24"/>
      <c r="E11" s="24"/>
      <c r="F11" s="24"/>
      <c r="G11" s="24"/>
      <c r="H11" s="24"/>
      <c r="I11" s="24"/>
      <c r="J11" s="24"/>
      <c r="K11" s="24"/>
    </row>
    <row r="12" customFormat="false" ht="15" hidden="false" customHeight="false" outlineLevel="0" collapsed="false">
      <c r="A12" s="2"/>
      <c r="B12" s="24" t="s">
        <v>385</v>
      </c>
      <c r="C12" s="24"/>
      <c r="D12" s="24"/>
      <c r="E12" s="24"/>
      <c r="F12" s="24"/>
      <c r="G12" s="24"/>
      <c r="H12" s="24"/>
      <c r="I12" s="24"/>
      <c r="J12" s="24"/>
      <c r="K12" s="24"/>
    </row>
    <row r="13" customFormat="false" ht="15" hidden="false" customHeight="false" outlineLevel="0" collapsed="false">
      <c r="A13" s="2"/>
      <c r="B13" s="24" t="s">
        <v>386</v>
      </c>
      <c r="C13" s="24"/>
      <c r="D13" s="24"/>
      <c r="E13" s="24"/>
      <c r="F13" s="24"/>
      <c r="G13" s="24"/>
      <c r="H13" s="24"/>
      <c r="I13" s="24"/>
      <c r="J13" s="24"/>
      <c r="K13" s="24"/>
    </row>
    <row r="14" customFormat="false" ht="15" hidden="false" customHeight="false" outlineLevel="0" collapsed="false">
      <c r="A14" s="2"/>
      <c r="B14" s="24" t="s">
        <v>387</v>
      </c>
      <c r="C14" s="24"/>
      <c r="D14" s="24"/>
      <c r="E14" s="24"/>
      <c r="F14" s="24"/>
      <c r="G14" s="24"/>
      <c r="H14" s="24"/>
      <c r="I14" s="24"/>
      <c r="J14" s="24"/>
      <c r="K14" s="24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2"/>
      <c r="B16" s="18" t="s">
        <v>388</v>
      </c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2"/>
      <c r="B17" s="24" t="s">
        <v>389</v>
      </c>
      <c r="C17" s="24"/>
      <c r="D17" s="24"/>
      <c r="E17" s="24"/>
      <c r="F17" s="24"/>
      <c r="G17" s="24"/>
      <c r="H17" s="24"/>
      <c r="I17" s="24"/>
      <c r="J17" s="24"/>
      <c r="K17" s="24"/>
    </row>
    <row r="18" customFormat="false" ht="15" hidden="false" customHeight="false" outlineLevel="0" collapsed="false">
      <c r="A18" s="2"/>
      <c r="B18" s="24" t="s">
        <v>390</v>
      </c>
      <c r="C18" s="24"/>
      <c r="D18" s="24"/>
      <c r="E18" s="24"/>
      <c r="F18" s="24"/>
      <c r="G18" s="24"/>
      <c r="H18" s="24"/>
      <c r="I18" s="24"/>
      <c r="J18" s="24"/>
      <c r="K18" s="24"/>
    </row>
    <row r="19" customFormat="false" ht="15" hidden="false" customHeight="false" outlineLevel="0" collapsed="false">
      <c r="A19" s="2"/>
      <c r="B19" s="24" t="s">
        <v>391</v>
      </c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15" hidden="false" customHeight="false" outlineLevel="0" collapsed="false">
      <c r="A20" s="2"/>
      <c r="B20" s="24" t="s">
        <v>392</v>
      </c>
      <c r="C20" s="24"/>
      <c r="D20" s="24"/>
      <c r="E20" s="24"/>
      <c r="F20" s="24"/>
      <c r="G20" s="24"/>
      <c r="H20" s="24"/>
      <c r="I20" s="24"/>
      <c r="J20" s="24"/>
      <c r="K20" s="24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2"/>
      <c r="B23" s="3" t="s">
        <v>393</v>
      </c>
      <c r="C23" s="2"/>
      <c r="D23" s="2"/>
      <c r="E23" s="2"/>
      <c r="F23" s="2"/>
      <c r="G23" s="2"/>
      <c r="H23" s="2"/>
      <c r="I23" s="2"/>
      <c r="J23" s="2"/>
      <c r="K23" s="2"/>
    </row>
  </sheetData>
  <mergeCells count="16">
    <mergeCell ref="B5:C5"/>
    <mergeCell ref="D5:E5"/>
    <mergeCell ref="F5:G5"/>
    <mergeCell ref="H5:I5"/>
    <mergeCell ref="B6:C7"/>
    <mergeCell ref="D6:E7"/>
    <mergeCell ref="F6:G7"/>
    <mergeCell ref="H6:I7"/>
    <mergeCell ref="B11:K11"/>
    <mergeCell ref="B12:K12"/>
    <mergeCell ref="B13:K13"/>
    <mergeCell ref="B14:K14"/>
    <mergeCell ref="B17:K17"/>
    <mergeCell ref="B18:K18"/>
    <mergeCell ref="B19:K19"/>
    <mergeCell ref="B20:K20"/>
  </mergeCells>
  <printOptions headings="false" gridLines="false" gridLinesSet="true" horizontalCentered="tru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2026-05-02T05:35:44Z</dcterms:created>
  <dc:creator>openpyxl</dc:creator>
  <dc:description/>
  <dc:language>en-US</dc:language>
  <cp:lastModifiedBy/>
  <dcterms:modified xsi:type="dcterms:W3CDTF">2026-05-02T05:35:51Z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